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7CEAE51-7B82-4A64-A0DB-191A0F6EC964}" xr6:coauthVersionLast="47" xr6:coauthVersionMax="47" xr10:uidLastSave="{00000000-0000-0000-0000-000000000000}"/>
  <bookViews>
    <workbookView xWindow="-108" yWindow="-108" windowWidth="23256" windowHeight="12456" xr2:uid="{B4A10705-6F4F-4E4A-85D3-3A13217CEA0B}"/>
  </bookViews>
  <sheets>
    <sheet name="Sheet1" sheetId="1" r:id="rId1"/>
    <sheet name="Sheet4" sheetId="4" r:id="rId2"/>
    <sheet name="Sheet5" sheetId="6" r:id="rId3"/>
    <sheet name="Sheet2" sheetId="2" r:id="rId4"/>
    <sheet name="Sheet3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2" i="6" l="1"/>
  <c r="B52" i="6"/>
  <c r="E52" i="6"/>
  <c r="D52" i="6"/>
  <c r="C5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2" i="6"/>
  <c r="D52" i="3"/>
  <c r="E5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" i="3"/>
  <c r="F5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2" i="4"/>
  <c r="D5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2" i="4"/>
  <c r="B52" i="4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<sst xmlns="http://schemas.openxmlformats.org/spreadsheetml/2006/main" count="301" uniqueCount="57">
  <si>
    <t>Serial No.</t>
  </si>
  <si>
    <t>Student Id</t>
  </si>
  <si>
    <t>University Name</t>
  </si>
  <si>
    <t>Gender</t>
  </si>
  <si>
    <t>Height(inch)</t>
  </si>
  <si>
    <t>Semester</t>
  </si>
  <si>
    <t>Are you satisfied with your CGPA</t>
  </si>
  <si>
    <t>Background(English/Bangla)</t>
  </si>
  <si>
    <t>Brac University</t>
  </si>
  <si>
    <t>BRAC University</t>
  </si>
  <si>
    <t>University of Scholars</t>
  </si>
  <si>
    <t>International University of Scholars</t>
  </si>
  <si>
    <t>Bangladesh University of Professionals</t>
  </si>
  <si>
    <t>Female</t>
  </si>
  <si>
    <t>Male</t>
  </si>
  <si>
    <t>No</t>
  </si>
  <si>
    <t>Yes</t>
  </si>
  <si>
    <t>Weight(kg)</t>
  </si>
  <si>
    <t>English Version</t>
  </si>
  <si>
    <t>Bangla Medium</t>
  </si>
  <si>
    <t>English Medium</t>
  </si>
  <si>
    <t>5th</t>
  </si>
  <si>
    <t>8th</t>
  </si>
  <si>
    <t>6th</t>
  </si>
  <si>
    <t>Dhaka University</t>
  </si>
  <si>
    <t>Rajshahi University</t>
  </si>
  <si>
    <t>4th</t>
  </si>
  <si>
    <t>Sleeping duration</t>
  </si>
  <si>
    <t>Commulative Height</t>
  </si>
  <si>
    <t>Commulative Weight</t>
  </si>
  <si>
    <t>Commulative sleeping duration</t>
  </si>
  <si>
    <t>NO</t>
  </si>
  <si>
    <t>Total=299.5</t>
  </si>
  <si>
    <t>Total=2955</t>
  </si>
  <si>
    <t>total=323</t>
  </si>
  <si>
    <t>total=7632.6</t>
  </si>
  <si>
    <t>Total=72871</t>
  </si>
  <si>
    <t>Total=8046</t>
  </si>
  <si>
    <t>Height(x)</t>
  </si>
  <si>
    <t>Weight(y)</t>
  </si>
  <si>
    <t>xy</t>
  </si>
  <si>
    <r>
      <t>x</t>
    </r>
    <r>
      <rPr>
        <b/>
        <vertAlign val="superscript"/>
        <sz val="11"/>
        <color theme="1"/>
        <rFont val="Times New Roman"/>
        <family val="1"/>
      </rPr>
      <t>2</t>
    </r>
  </si>
  <si>
    <r>
      <t>y</t>
    </r>
    <r>
      <rPr>
        <b/>
        <vertAlign val="superscript"/>
        <sz val="11"/>
        <color theme="1"/>
        <rFont val="Times New Roman"/>
        <family val="1"/>
      </rPr>
      <t>2</t>
    </r>
  </si>
  <si>
    <t>Σx = 299.5</t>
  </si>
  <si>
    <t>Σy = 2955</t>
  </si>
  <si>
    <t>Σxy = 17741.7</t>
  </si>
  <si>
    <r>
      <t>∑x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=1807.27</t>
    </r>
  </si>
  <si>
    <r>
      <t>Σy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 179249</t>
    </r>
  </si>
  <si>
    <t>Weight(x)</t>
  </si>
  <si>
    <t>Sleeping duration(y)</t>
  </si>
  <si>
    <r>
      <t>x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</si>
  <si>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Σy = 323</t>
  </si>
  <si>
    <r>
      <t xml:space="preserve">
</t>
    </r>
    <r>
      <rPr>
        <sz val="11"/>
        <color theme="1"/>
        <rFont val="Times New Roman"/>
        <family val="1"/>
      </rPr>
      <t>∑x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=179249</t>
    </r>
    <r>
      <rPr>
        <sz val="11"/>
        <color theme="1"/>
        <rFont val="Calibri"/>
        <family val="2"/>
        <scheme val="minor"/>
      </rPr>
      <t xml:space="preserve">
</t>
    </r>
  </si>
  <si>
    <t>∑x = 2955</t>
  </si>
  <si>
    <t>Sleeping duration(x)</t>
  </si>
  <si>
    <t>Height(y)</t>
  </si>
  <si>
    <r>
      <t>y</t>
    </r>
    <r>
      <rPr>
        <b/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</si>
</sst>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51</xdr:row>
      <xdr:rowOff>0</xdr:rowOff>
    </xdr:from>
    <xdr:to>
      <xdr:col>3</xdr:col>
      <xdr:colOff>259080</xdr:colOff>
      <xdr:row>51</xdr:row>
      <xdr:rowOff>198120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4E22EE-40D9-B7DE-FFB7-DB98B779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7640" y="9563100"/>
          <a:ext cx="2590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5E76-5C2A-4848-9B7D-E804340F7658}">
  <dimension ref="A1:O52"/>
  <sheetViews>
    <sheetView tabSelected="1" zoomScale="95" zoomScaleNormal="175" workbookViewId="0">
      <selection activeCell="C65" sqref="C65"/>
    </sheetView>
  </sheetViews>
  <sheetFormatPr defaultRowHeight="14.4" x14ac:dyDescent="0.3"/>
  <cols>
    <col min="1" max="1" width="10.88671875" customWidth="1"/>
    <col min="2" max="2" width="13.44140625" customWidth="1"/>
    <col min="3" max="3" width="20.88671875" customWidth="1"/>
    <col min="4" max="4" width="14.77734375" customWidth="1"/>
    <col min="5" max="5" width="12.21875" customWidth="1"/>
    <col min="6" max="6" width="11.44140625" customWidth="1"/>
    <col min="7" max="7" width="31" customWidth="1"/>
    <col min="8" max="8" width="11.6640625" customWidth="1"/>
    <col min="9" max="9" width="26.33203125" customWidth="1"/>
    <col min="10" max="10" width="17" customWidth="1"/>
    <col min="11" max="11" width="21.21875" customWidth="1"/>
    <col min="12" max="12" width="19.6640625" customWidth="1"/>
    <col min="13" max="13" width="28.21875" customWidth="1"/>
    <col min="14" max="14" width="19.88671875" customWidth="1"/>
    <col min="15" max="15" width="13.77734375" customWidth="1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</v>
      </c>
      <c r="I1" s="2" t="s">
        <v>7</v>
      </c>
      <c r="J1" s="2" t="s">
        <v>27</v>
      </c>
      <c r="K1" s="2" t="s">
        <v>28</v>
      </c>
      <c r="L1" s="2" t="s">
        <v>29</v>
      </c>
      <c r="M1" s="2" t="s">
        <v>30</v>
      </c>
      <c r="N1" s="2"/>
      <c r="O1" s="2"/>
    </row>
    <row r="2" spans="1:15" ht="15" thickBot="1" x14ac:dyDescent="0.35">
      <c r="A2" s="1">
        <v>1</v>
      </c>
      <c r="B2" s="3">
        <v>22341032</v>
      </c>
      <c r="C2" s="3" t="s">
        <v>9</v>
      </c>
      <c r="D2" s="3" t="s">
        <v>13</v>
      </c>
      <c r="E2" s="3">
        <v>6.4</v>
      </c>
      <c r="F2" s="3" t="s">
        <v>21</v>
      </c>
      <c r="G2" s="3" t="s">
        <v>15</v>
      </c>
      <c r="H2" s="3">
        <v>52</v>
      </c>
      <c r="I2" s="3" t="s">
        <v>18</v>
      </c>
      <c r="J2" s="1">
        <v>6</v>
      </c>
      <c r="K2" s="1">
        <f>SUM(E$2:E2)</f>
        <v>6.4</v>
      </c>
      <c r="L2" s="6">
        <f>SUM(H$2:H2)</f>
        <v>52</v>
      </c>
      <c r="M2" s="1">
        <f>SUM(J$2:J2)</f>
        <v>6</v>
      </c>
      <c r="N2" s="3"/>
      <c r="O2" s="7"/>
    </row>
    <row r="3" spans="1:15" ht="15" thickBot="1" x14ac:dyDescent="0.35">
      <c r="A3" s="1">
        <v>2</v>
      </c>
      <c r="B3" s="3">
        <v>22301015</v>
      </c>
      <c r="C3" s="3" t="s">
        <v>9</v>
      </c>
      <c r="D3" s="3" t="s">
        <v>13</v>
      </c>
      <c r="E3" s="3">
        <v>6.4</v>
      </c>
      <c r="F3" s="3" t="s">
        <v>21</v>
      </c>
      <c r="G3" s="3" t="s">
        <v>15</v>
      </c>
      <c r="H3" s="3">
        <v>47</v>
      </c>
      <c r="I3" s="3" t="s">
        <v>19</v>
      </c>
      <c r="J3" s="1">
        <v>5</v>
      </c>
      <c r="K3" s="1">
        <f>SUM(E$2:E3)</f>
        <v>12.8</v>
      </c>
      <c r="L3" s="6">
        <f>SUM(H$2:H3)</f>
        <v>99</v>
      </c>
      <c r="M3" s="1">
        <f>SUM(J$2:J3)</f>
        <v>11</v>
      </c>
      <c r="N3" s="3"/>
      <c r="O3" s="1"/>
    </row>
    <row r="4" spans="1:15" ht="15" thickBot="1" x14ac:dyDescent="0.35">
      <c r="A4" s="1">
        <v>3</v>
      </c>
      <c r="B4" s="3">
        <v>22301779</v>
      </c>
      <c r="C4" s="3" t="s">
        <v>9</v>
      </c>
      <c r="D4" s="3" t="s">
        <v>13</v>
      </c>
      <c r="E4" s="3">
        <v>6.3</v>
      </c>
      <c r="F4" s="3" t="s">
        <v>23</v>
      </c>
      <c r="G4" s="3" t="s">
        <v>15</v>
      </c>
      <c r="H4" s="3">
        <v>55</v>
      </c>
      <c r="I4" s="3" t="s">
        <v>18</v>
      </c>
      <c r="J4" s="1">
        <v>6</v>
      </c>
      <c r="K4" s="1">
        <f>SUM(E$2:E4)</f>
        <v>19.100000000000001</v>
      </c>
      <c r="L4" s="6">
        <f>SUM(H$2:H4)</f>
        <v>154</v>
      </c>
      <c r="M4" s="1">
        <f>SUM(J$2:J4)</f>
        <v>17</v>
      </c>
      <c r="N4" s="3"/>
      <c r="O4" s="1"/>
    </row>
    <row r="5" spans="1:15" ht="15" thickBot="1" x14ac:dyDescent="0.35">
      <c r="A5" s="1">
        <v>4</v>
      </c>
      <c r="B5" s="3">
        <v>22301530</v>
      </c>
      <c r="C5" s="3" t="s">
        <v>9</v>
      </c>
      <c r="D5" s="3" t="s">
        <v>13</v>
      </c>
      <c r="E5" s="3">
        <v>4.8</v>
      </c>
      <c r="F5" s="3" t="s">
        <v>23</v>
      </c>
      <c r="G5" s="3" t="s">
        <v>31</v>
      </c>
      <c r="H5" s="3">
        <v>58</v>
      </c>
      <c r="I5" s="3" t="s">
        <v>19</v>
      </c>
      <c r="J5" s="1">
        <v>6</v>
      </c>
      <c r="K5" s="1">
        <f>SUM(E$2:E5)</f>
        <v>23.900000000000002</v>
      </c>
      <c r="L5" s="6">
        <f>SUM(H$2:H5)</f>
        <v>212</v>
      </c>
      <c r="M5" s="1">
        <f>SUM(J$2:J5)</f>
        <v>23</v>
      </c>
      <c r="N5" s="3"/>
      <c r="O5" s="1"/>
    </row>
    <row r="6" spans="1:15" ht="15" thickBot="1" x14ac:dyDescent="0.35">
      <c r="A6" s="1">
        <v>5</v>
      </c>
      <c r="B6" s="3">
        <v>20101526</v>
      </c>
      <c r="C6" s="3" t="s">
        <v>9</v>
      </c>
      <c r="D6" s="3" t="s">
        <v>13</v>
      </c>
      <c r="E6" s="3">
        <v>5.2</v>
      </c>
      <c r="F6" s="3" t="s">
        <v>21</v>
      </c>
      <c r="G6" s="3" t="s">
        <v>15</v>
      </c>
      <c r="H6" s="3">
        <v>52</v>
      </c>
      <c r="I6" s="3" t="s">
        <v>19</v>
      </c>
      <c r="J6" s="1">
        <v>7</v>
      </c>
      <c r="K6" s="1">
        <f>SUM(E$2:E6)</f>
        <v>29.1</v>
      </c>
      <c r="L6" s="6">
        <f>SUM(H$2:H6)</f>
        <v>264</v>
      </c>
      <c r="M6" s="1">
        <f>SUM(J$2:J6)</f>
        <v>30</v>
      </c>
      <c r="N6" s="3"/>
      <c r="O6" s="1"/>
    </row>
    <row r="7" spans="1:15" ht="15" thickBot="1" x14ac:dyDescent="0.35">
      <c r="A7" s="1">
        <v>6</v>
      </c>
      <c r="B7" s="3">
        <v>22301009</v>
      </c>
      <c r="C7" s="3" t="s">
        <v>9</v>
      </c>
      <c r="D7" s="3" t="s">
        <v>13</v>
      </c>
      <c r="E7" s="3">
        <v>5.6</v>
      </c>
      <c r="F7" s="3" t="s">
        <v>21</v>
      </c>
      <c r="G7" s="3" t="s">
        <v>15</v>
      </c>
      <c r="H7" s="3">
        <v>50</v>
      </c>
      <c r="I7" s="3" t="s">
        <v>19</v>
      </c>
      <c r="J7" s="1">
        <v>7</v>
      </c>
      <c r="K7" s="1">
        <f>SUM(E$2:E7)</f>
        <v>34.700000000000003</v>
      </c>
      <c r="L7" s="6">
        <f>SUM(H$2:H7)</f>
        <v>314</v>
      </c>
      <c r="M7" s="1">
        <f>SUM(J$2:J7)</f>
        <v>37</v>
      </c>
      <c r="N7" s="3"/>
      <c r="O7" s="1"/>
    </row>
    <row r="8" spans="1:15" ht="15" thickBot="1" x14ac:dyDescent="0.35">
      <c r="A8" s="1">
        <v>7</v>
      </c>
      <c r="B8" s="3">
        <v>22101865</v>
      </c>
      <c r="C8" s="3" t="s">
        <v>9</v>
      </c>
      <c r="D8" s="3" t="s">
        <v>13</v>
      </c>
      <c r="E8" s="3">
        <v>5.2</v>
      </c>
      <c r="F8" s="3" t="s">
        <v>21</v>
      </c>
      <c r="G8" s="3" t="s">
        <v>15</v>
      </c>
      <c r="H8" s="3">
        <v>47</v>
      </c>
      <c r="I8" s="3" t="s">
        <v>19</v>
      </c>
      <c r="J8" s="1">
        <v>5</v>
      </c>
      <c r="K8" s="1">
        <f>SUM(E$2:E8)</f>
        <v>39.900000000000006</v>
      </c>
      <c r="L8" s="6">
        <f>SUM(H$2:H8)</f>
        <v>361</v>
      </c>
      <c r="M8" s="1">
        <f>SUM(J$2:J8)</f>
        <v>42</v>
      </c>
      <c r="N8" s="3"/>
      <c r="O8" s="1"/>
    </row>
    <row r="9" spans="1:15" ht="15" thickBot="1" x14ac:dyDescent="0.35">
      <c r="A9" s="1">
        <v>8</v>
      </c>
      <c r="B9" s="3">
        <v>21301498</v>
      </c>
      <c r="C9" s="3" t="s">
        <v>8</v>
      </c>
      <c r="D9" s="3" t="s">
        <v>13</v>
      </c>
      <c r="E9" s="3">
        <v>5.4</v>
      </c>
      <c r="F9" s="3" t="s">
        <v>21</v>
      </c>
      <c r="G9" s="3" t="s">
        <v>16</v>
      </c>
      <c r="H9" s="3">
        <v>51</v>
      </c>
      <c r="I9" s="3" t="s">
        <v>19</v>
      </c>
      <c r="J9" s="1">
        <v>6</v>
      </c>
      <c r="K9" s="1">
        <f>SUM(E$2:E9)</f>
        <v>45.300000000000004</v>
      </c>
      <c r="L9" s="6">
        <f>SUM(H$2:H9)</f>
        <v>412</v>
      </c>
      <c r="M9" s="1">
        <f>SUM(J$2:J9)</f>
        <v>48</v>
      </c>
      <c r="N9" s="3"/>
      <c r="O9" s="1"/>
    </row>
    <row r="10" spans="1:15" ht="15" thickBot="1" x14ac:dyDescent="0.35">
      <c r="A10" s="1">
        <v>9</v>
      </c>
      <c r="B10" s="3">
        <v>222050010</v>
      </c>
      <c r="C10" s="3" t="s">
        <v>10</v>
      </c>
      <c r="D10" s="3" t="s">
        <v>14</v>
      </c>
      <c r="E10" s="3">
        <v>5.7</v>
      </c>
      <c r="F10" s="3" t="s">
        <v>21</v>
      </c>
      <c r="G10" s="3" t="s">
        <v>16</v>
      </c>
      <c r="H10" s="3">
        <v>85</v>
      </c>
      <c r="I10" s="3" t="s">
        <v>18</v>
      </c>
      <c r="J10" s="1">
        <v>7</v>
      </c>
      <c r="K10" s="1">
        <f>SUM(E$2:E10)</f>
        <v>51.000000000000007</v>
      </c>
      <c r="L10" s="6">
        <f>SUM(H$2:H10)</f>
        <v>497</v>
      </c>
      <c r="M10" s="1">
        <f>SUM(J$2:J10)</f>
        <v>55</v>
      </c>
      <c r="N10" s="3"/>
      <c r="O10" s="1"/>
    </row>
    <row r="11" spans="1:15" ht="27.6" thickBot="1" x14ac:dyDescent="0.35">
      <c r="A11" s="1">
        <v>10</v>
      </c>
      <c r="B11" s="3">
        <v>221050303</v>
      </c>
      <c r="C11" s="3" t="s">
        <v>11</v>
      </c>
      <c r="D11" s="3" t="s">
        <v>14</v>
      </c>
      <c r="E11" s="3">
        <v>5.5</v>
      </c>
      <c r="F11" s="3" t="s">
        <v>21</v>
      </c>
      <c r="G11" s="3" t="s">
        <v>15</v>
      </c>
      <c r="H11" s="3">
        <v>59</v>
      </c>
      <c r="I11" s="3" t="s">
        <v>19</v>
      </c>
      <c r="J11" s="1">
        <v>8</v>
      </c>
      <c r="K11" s="1">
        <f>SUM(E$2:E11)</f>
        <v>56.500000000000007</v>
      </c>
      <c r="L11" s="6">
        <f>SUM(H$2:H11)</f>
        <v>556</v>
      </c>
      <c r="M11" s="1">
        <f>SUM(J$2:J11)</f>
        <v>63</v>
      </c>
      <c r="N11" s="3"/>
      <c r="O11" s="1"/>
    </row>
    <row r="12" spans="1:15" ht="15" thickBot="1" x14ac:dyDescent="0.35">
      <c r="A12" s="1">
        <v>11</v>
      </c>
      <c r="B12" s="3">
        <v>22336051</v>
      </c>
      <c r="C12" s="3" t="s">
        <v>9</v>
      </c>
      <c r="D12" s="3" t="s">
        <v>14</v>
      </c>
      <c r="E12" s="3">
        <v>6.4</v>
      </c>
      <c r="F12" s="3" t="s">
        <v>21</v>
      </c>
      <c r="G12" s="3" t="s">
        <v>15</v>
      </c>
      <c r="H12" s="3">
        <v>62</v>
      </c>
      <c r="I12" s="3" t="s">
        <v>19</v>
      </c>
      <c r="J12" s="1">
        <v>6</v>
      </c>
      <c r="K12" s="1">
        <f>SUM(E$2:E12)</f>
        <v>62.900000000000006</v>
      </c>
      <c r="L12" s="6">
        <f>SUM(H$2:H12)</f>
        <v>618</v>
      </c>
      <c r="M12" s="1">
        <f>SUM(J$2:J12)</f>
        <v>69</v>
      </c>
      <c r="N12" s="3"/>
      <c r="O12" s="1"/>
    </row>
    <row r="13" spans="1:15" ht="15" thickBot="1" x14ac:dyDescent="0.35">
      <c r="A13" s="1">
        <v>12</v>
      </c>
      <c r="B13" s="3">
        <v>22301059</v>
      </c>
      <c r="C13" s="3" t="s">
        <v>9</v>
      </c>
      <c r="D13" s="3" t="s">
        <v>13</v>
      </c>
      <c r="E13" s="3">
        <v>5.0999999999999996</v>
      </c>
      <c r="F13" s="3" t="s">
        <v>21</v>
      </c>
      <c r="G13" s="3" t="s">
        <v>15</v>
      </c>
      <c r="H13" s="3">
        <v>32</v>
      </c>
      <c r="I13" s="3" t="s">
        <v>19</v>
      </c>
      <c r="J13" s="1">
        <v>5</v>
      </c>
      <c r="K13" s="1">
        <f>SUM(E$2:E13)</f>
        <v>68</v>
      </c>
      <c r="L13" s="6">
        <f>SUM(H$2:H13)</f>
        <v>650</v>
      </c>
      <c r="M13" s="1">
        <f>SUM(J$2:J13)</f>
        <v>74</v>
      </c>
      <c r="N13" s="3"/>
      <c r="O13" s="1"/>
    </row>
    <row r="14" spans="1:15" ht="15" thickBot="1" x14ac:dyDescent="0.35">
      <c r="A14" s="1">
        <v>13</v>
      </c>
      <c r="B14" s="3">
        <v>22301413</v>
      </c>
      <c r="C14" s="3" t="s">
        <v>9</v>
      </c>
      <c r="D14" s="3" t="s">
        <v>14</v>
      </c>
      <c r="E14" s="3">
        <v>6.6</v>
      </c>
      <c r="F14" s="3" t="s">
        <v>21</v>
      </c>
      <c r="G14" s="3" t="s">
        <v>15</v>
      </c>
      <c r="H14" s="3">
        <v>55</v>
      </c>
      <c r="I14" s="3" t="s">
        <v>20</v>
      </c>
      <c r="J14" s="1">
        <v>6</v>
      </c>
      <c r="K14" s="1">
        <f>SUM(E$2:E14)</f>
        <v>74.599999999999994</v>
      </c>
      <c r="L14" s="6">
        <f>SUM(H$2:H14)</f>
        <v>705</v>
      </c>
      <c r="M14" s="1">
        <f>SUM(J$2:J14)</f>
        <v>80</v>
      </c>
      <c r="N14" s="3"/>
      <c r="O14" s="1"/>
    </row>
    <row r="15" spans="1:15" ht="15" thickBot="1" x14ac:dyDescent="0.35">
      <c r="A15" s="1">
        <v>14</v>
      </c>
      <c r="B15" s="3">
        <v>22301431</v>
      </c>
      <c r="C15" s="3" t="s">
        <v>9</v>
      </c>
      <c r="D15" s="3" t="s">
        <v>14</v>
      </c>
      <c r="E15" s="3">
        <v>6.5</v>
      </c>
      <c r="F15" s="3" t="s">
        <v>23</v>
      </c>
      <c r="G15" s="3" t="s">
        <v>15</v>
      </c>
      <c r="H15" s="3">
        <v>65</v>
      </c>
      <c r="I15" s="3" t="s">
        <v>19</v>
      </c>
      <c r="J15" s="1">
        <v>7</v>
      </c>
      <c r="K15" s="1">
        <f>SUM(E$2:E15)</f>
        <v>81.099999999999994</v>
      </c>
      <c r="L15" s="6">
        <f>SUM(H$2:H15)</f>
        <v>770</v>
      </c>
      <c r="M15" s="1">
        <f>SUM(J$2:J15)</f>
        <v>87</v>
      </c>
      <c r="N15" s="3"/>
      <c r="O15" s="1"/>
    </row>
    <row r="16" spans="1:15" ht="15" thickBot="1" x14ac:dyDescent="0.35">
      <c r="A16" s="1">
        <v>15</v>
      </c>
      <c r="B16" s="3">
        <v>22301718</v>
      </c>
      <c r="C16" s="3" t="s">
        <v>9</v>
      </c>
      <c r="D16" s="3" t="s">
        <v>14</v>
      </c>
      <c r="E16" s="3">
        <v>6.6</v>
      </c>
      <c r="F16" s="3" t="s">
        <v>21</v>
      </c>
      <c r="G16" s="3" t="s">
        <v>15</v>
      </c>
      <c r="H16" s="3">
        <v>63</v>
      </c>
      <c r="I16" s="3" t="s">
        <v>19</v>
      </c>
      <c r="J16" s="1">
        <v>6</v>
      </c>
      <c r="K16" s="1">
        <f>SUM(E$2:E16)</f>
        <v>87.699999999999989</v>
      </c>
      <c r="L16" s="6">
        <f>SUM(H$2:H16)</f>
        <v>833</v>
      </c>
      <c r="M16" s="1">
        <f>SUM(J$2:J16)</f>
        <v>93</v>
      </c>
      <c r="N16" s="3"/>
      <c r="O16" s="1"/>
    </row>
    <row r="17" spans="1:15" ht="15" thickBot="1" x14ac:dyDescent="0.35">
      <c r="A17" s="1">
        <v>16</v>
      </c>
      <c r="B17" s="3">
        <v>23304058</v>
      </c>
      <c r="C17" s="3" t="s">
        <v>9</v>
      </c>
      <c r="D17" s="3" t="s">
        <v>14</v>
      </c>
      <c r="E17" s="3">
        <v>6.7</v>
      </c>
      <c r="F17" s="3" t="s">
        <v>21</v>
      </c>
      <c r="G17" s="3" t="s">
        <v>16</v>
      </c>
      <c r="H17" s="3">
        <v>60</v>
      </c>
      <c r="I17" s="3" t="s">
        <v>19</v>
      </c>
      <c r="J17" s="1">
        <v>5</v>
      </c>
      <c r="K17" s="1">
        <f>SUM(E$2:E17)</f>
        <v>94.399999999999991</v>
      </c>
      <c r="L17" s="6">
        <f>SUM(H$2:H17)</f>
        <v>893</v>
      </c>
      <c r="M17" s="1">
        <f>SUM(J$2:J17)</f>
        <v>98</v>
      </c>
      <c r="N17" s="3"/>
      <c r="O17" s="1"/>
    </row>
    <row r="18" spans="1:15" ht="15" thickBot="1" x14ac:dyDescent="0.35">
      <c r="A18" s="1">
        <v>17</v>
      </c>
      <c r="B18" s="3">
        <v>22299442</v>
      </c>
      <c r="C18" s="3" t="s">
        <v>9</v>
      </c>
      <c r="D18" s="3" t="s">
        <v>14</v>
      </c>
      <c r="E18" s="3">
        <v>6.5</v>
      </c>
      <c r="F18" s="3" t="s">
        <v>21</v>
      </c>
      <c r="G18" s="3" t="s">
        <v>15</v>
      </c>
      <c r="H18" s="3">
        <v>50</v>
      </c>
      <c r="I18" s="3" t="s">
        <v>18</v>
      </c>
      <c r="J18" s="1">
        <v>7</v>
      </c>
      <c r="K18" s="1">
        <f>SUM(E$2:E18)</f>
        <v>100.89999999999999</v>
      </c>
      <c r="L18" s="6">
        <f>SUM(H$2:H18)</f>
        <v>943</v>
      </c>
      <c r="M18" s="1">
        <f>SUM(J$2:J18)</f>
        <v>105</v>
      </c>
      <c r="N18" s="3"/>
      <c r="O18" s="1"/>
    </row>
    <row r="19" spans="1:15" ht="15" thickBot="1" x14ac:dyDescent="0.35">
      <c r="A19" s="1">
        <v>18</v>
      </c>
      <c r="B19" s="3">
        <v>23305023</v>
      </c>
      <c r="C19" s="3" t="s">
        <v>9</v>
      </c>
      <c r="D19" s="3" t="s">
        <v>13</v>
      </c>
      <c r="E19" s="3">
        <v>6.2</v>
      </c>
      <c r="F19" s="3" t="s">
        <v>21</v>
      </c>
      <c r="G19" s="3" t="s">
        <v>16</v>
      </c>
      <c r="H19" s="3">
        <v>48</v>
      </c>
      <c r="I19" s="3" t="s">
        <v>19</v>
      </c>
      <c r="J19" s="1">
        <v>6</v>
      </c>
      <c r="K19" s="1">
        <f>SUM(E$2:E19)</f>
        <v>107.1</v>
      </c>
      <c r="L19" s="6">
        <f>SUM(H$2:H19)</f>
        <v>991</v>
      </c>
      <c r="M19" s="1">
        <f>SUM(J$2:J19)</f>
        <v>111</v>
      </c>
      <c r="N19" s="3"/>
      <c r="O19" s="1"/>
    </row>
    <row r="20" spans="1:15" ht="15" thickBot="1" x14ac:dyDescent="0.35">
      <c r="A20" s="1">
        <v>19</v>
      </c>
      <c r="B20" s="3">
        <v>22299440</v>
      </c>
      <c r="C20" s="3" t="s">
        <v>9</v>
      </c>
      <c r="D20" s="3" t="s">
        <v>14</v>
      </c>
      <c r="E20" s="3">
        <v>6.9</v>
      </c>
      <c r="F20" s="3" t="s">
        <v>21</v>
      </c>
      <c r="G20" s="3" t="s">
        <v>15</v>
      </c>
      <c r="H20" s="3">
        <v>85</v>
      </c>
      <c r="I20" s="3" t="s">
        <v>20</v>
      </c>
      <c r="J20" s="1">
        <v>7</v>
      </c>
      <c r="K20" s="1">
        <f>SUM(E$2:E20)</f>
        <v>114</v>
      </c>
      <c r="L20" s="6">
        <f>SUM(H$2:H20)</f>
        <v>1076</v>
      </c>
      <c r="M20" s="1">
        <f>SUM(J$2:J20)</f>
        <v>118</v>
      </c>
      <c r="N20" s="3"/>
      <c r="O20" s="1"/>
    </row>
    <row r="21" spans="1:15" ht="27.6" thickBot="1" x14ac:dyDescent="0.35">
      <c r="A21" s="1">
        <v>20</v>
      </c>
      <c r="B21" s="3">
        <v>2252421052</v>
      </c>
      <c r="C21" s="3" t="s">
        <v>12</v>
      </c>
      <c r="D21" s="3" t="s">
        <v>14</v>
      </c>
      <c r="E21" s="3">
        <v>5.5</v>
      </c>
      <c r="F21" s="3" t="s">
        <v>21</v>
      </c>
      <c r="G21" s="3" t="s">
        <v>16</v>
      </c>
      <c r="H21" s="3">
        <v>48</v>
      </c>
      <c r="I21" s="3" t="s">
        <v>19</v>
      </c>
      <c r="J21" s="1">
        <v>8</v>
      </c>
      <c r="K21" s="1">
        <f>SUM(E$2:E21)</f>
        <v>119.5</v>
      </c>
      <c r="L21" s="6">
        <f>SUM(H$2:H21)</f>
        <v>1124</v>
      </c>
      <c r="M21" s="1">
        <f>SUM(J$2:J21)</f>
        <v>126</v>
      </c>
      <c r="N21" s="3"/>
      <c r="O21" s="1"/>
    </row>
    <row r="22" spans="1:15" ht="15" thickBot="1" x14ac:dyDescent="0.35">
      <c r="A22" s="1">
        <v>21</v>
      </c>
      <c r="B22" s="3">
        <v>22103054</v>
      </c>
      <c r="C22" s="3" t="s">
        <v>9</v>
      </c>
      <c r="D22" s="3" t="s">
        <v>13</v>
      </c>
      <c r="E22" s="3">
        <v>5.5</v>
      </c>
      <c r="F22" s="3" t="s">
        <v>21</v>
      </c>
      <c r="G22" s="3" t="s">
        <v>15</v>
      </c>
      <c r="H22" s="3">
        <v>58</v>
      </c>
      <c r="I22" s="3" t="s">
        <v>19</v>
      </c>
      <c r="J22" s="1">
        <v>6</v>
      </c>
      <c r="K22" s="1">
        <f>SUM(E$2:E22)</f>
        <v>125</v>
      </c>
      <c r="L22" s="6">
        <f>SUM(H$2:H22)</f>
        <v>1182</v>
      </c>
      <c r="M22" s="1">
        <f>SUM(J$2:J22)</f>
        <v>132</v>
      </c>
      <c r="N22" s="3"/>
      <c r="O22" s="1"/>
    </row>
    <row r="23" spans="1:15" ht="15" thickBot="1" x14ac:dyDescent="0.35">
      <c r="A23" s="1">
        <v>22</v>
      </c>
      <c r="B23" s="3">
        <v>22201934</v>
      </c>
      <c r="C23" s="3" t="s">
        <v>9</v>
      </c>
      <c r="D23" s="3" t="s">
        <v>14</v>
      </c>
      <c r="E23" s="3">
        <v>5.7</v>
      </c>
      <c r="F23" s="3" t="s">
        <v>23</v>
      </c>
      <c r="G23" s="3" t="s">
        <v>15</v>
      </c>
      <c r="H23" s="3">
        <v>65</v>
      </c>
      <c r="I23" s="3" t="s">
        <v>19</v>
      </c>
      <c r="J23" s="1">
        <v>5</v>
      </c>
      <c r="K23" s="1">
        <f>SUM(E$2:E23)</f>
        <v>130.69999999999999</v>
      </c>
      <c r="L23" s="6">
        <f>SUM(H$2:H23)</f>
        <v>1247</v>
      </c>
      <c r="M23" s="1">
        <f>SUM(J$2:J23)</f>
        <v>137</v>
      </c>
      <c r="N23" s="3"/>
      <c r="O23" s="1"/>
    </row>
    <row r="24" spans="1:15" ht="15" thickBot="1" x14ac:dyDescent="0.35">
      <c r="A24" s="1">
        <v>23</v>
      </c>
      <c r="B24" s="3">
        <v>23305031</v>
      </c>
      <c r="C24" s="3" t="s">
        <v>9</v>
      </c>
      <c r="D24" s="3" t="s">
        <v>13</v>
      </c>
      <c r="E24" s="3">
        <v>6.4</v>
      </c>
      <c r="F24" s="3" t="s">
        <v>21</v>
      </c>
      <c r="G24" s="3" t="s">
        <v>15</v>
      </c>
      <c r="H24" s="3">
        <v>56</v>
      </c>
      <c r="I24" s="3" t="s">
        <v>19</v>
      </c>
      <c r="J24" s="1">
        <v>6</v>
      </c>
      <c r="K24" s="1">
        <f>SUM(E$2:E24)</f>
        <v>137.1</v>
      </c>
      <c r="L24" s="6">
        <f>SUM(H$2:H24)</f>
        <v>1303</v>
      </c>
      <c r="M24" s="1">
        <f>SUM(J$2:J24)</f>
        <v>143</v>
      </c>
      <c r="N24" s="3"/>
      <c r="O24" s="1"/>
    </row>
    <row r="25" spans="1:15" ht="15" thickBot="1" x14ac:dyDescent="0.35">
      <c r="A25" s="1">
        <v>24</v>
      </c>
      <c r="B25" s="3">
        <v>22101839</v>
      </c>
      <c r="C25" s="3" t="s">
        <v>9</v>
      </c>
      <c r="D25" s="3" t="s">
        <v>13</v>
      </c>
      <c r="E25" s="3">
        <v>6.8</v>
      </c>
      <c r="F25" s="3" t="s">
        <v>23</v>
      </c>
      <c r="G25" s="3" t="s">
        <v>15</v>
      </c>
      <c r="H25" s="3">
        <v>50</v>
      </c>
      <c r="I25" s="3" t="s">
        <v>19</v>
      </c>
      <c r="J25" s="1">
        <v>7</v>
      </c>
      <c r="K25" s="1">
        <f>SUM(E$2:E25)</f>
        <v>143.9</v>
      </c>
      <c r="L25" s="6">
        <f>SUM(H$2:H25)</f>
        <v>1353</v>
      </c>
      <c r="M25" s="1">
        <f>SUM(J$2:J25)</f>
        <v>150</v>
      </c>
      <c r="N25" s="3"/>
      <c r="O25" s="1"/>
    </row>
    <row r="26" spans="1:15" ht="15" thickBot="1" x14ac:dyDescent="0.35">
      <c r="A26" s="1">
        <v>25</v>
      </c>
      <c r="B26" s="3">
        <v>22204058</v>
      </c>
      <c r="C26" s="3" t="s">
        <v>9</v>
      </c>
      <c r="D26" s="3" t="s">
        <v>13</v>
      </c>
      <c r="E26" s="3">
        <v>6.1</v>
      </c>
      <c r="F26" s="3" t="s">
        <v>23</v>
      </c>
      <c r="G26" s="3" t="s">
        <v>15</v>
      </c>
      <c r="H26" s="3">
        <v>42</v>
      </c>
      <c r="I26" s="3" t="s">
        <v>19</v>
      </c>
      <c r="J26" s="1">
        <v>7</v>
      </c>
      <c r="K26" s="1">
        <f>SUM(E$2:E26)</f>
        <v>150</v>
      </c>
      <c r="L26" s="6">
        <f>SUM(H$2:H26)</f>
        <v>1395</v>
      </c>
      <c r="M26" s="1">
        <f>SUM(J$2:J26)</f>
        <v>157</v>
      </c>
      <c r="N26" s="3"/>
      <c r="O26" s="1"/>
    </row>
    <row r="27" spans="1:15" x14ac:dyDescent="0.3">
      <c r="A27" s="1">
        <v>26</v>
      </c>
      <c r="B27" s="4">
        <v>22301038</v>
      </c>
      <c r="C27" s="4" t="s">
        <v>9</v>
      </c>
      <c r="D27" s="4" t="s">
        <v>14</v>
      </c>
      <c r="E27" s="1">
        <v>6.3</v>
      </c>
      <c r="F27" s="4" t="s">
        <v>21</v>
      </c>
      <c r="G27" s="4" t="s">
        <v>15</v>
      </c>
      <c r="H27" s="4">
        <v>61</v>
      </c>
      <c r="I27" s="4" t="s">
        <v>19</v>
      </c>
      <c r="J27" s="1">
        <v>6</v>
      </c>
      <c r="K27" s="1">
        <f>SUM(E$2:E27)</f>
        <v>156.30000000000001</v>
      </c>
      <c r="L27" s="6">
        <f>SUM(H$2:H27)</f>
        <v>1456</v>
      </c>
      <c r="M27" s="1">
        <f>SUM(J$2:J27)</f>
        <v>163</v>
      </c>
      <c r="N27" s="1"/>
      <c r="O27" s="1"/>
    </row>
    <row r="28" spans="1:15" x14ac:dyDescent="0.3">
      <c r="A28" s="1">
        <v>27</v>
      </c>
      <c r="B28" s="4">
        <v>23221146</v>
      </c>
      <c r="C28" s="4" t="s">
        <v>9</v>
      </c>
      <c r="D28" s="4" t="s">
        <v>14</v>
      </c>
      <c r="E28" s="1">
        <v>6.5</v>
      </c>
      <c r="F28" s="4" t="s">
        <v>21</v>
      </c>
      <c r="G28" s="4" t="s">
        <v>16</v>
      </c>
      <c r="H28" s="4">
        <v>65</v>
      </c>
      <c r="I28" s="4" t="s">
        <v>20</v>
      </c>
      <c r="J28" s="1">
        <v>5</v>
      </c>
      <c r="K28" s="1">
        <f>SUM(E$2:E28)</f>
        <v>162.80000000000001</v>
      </c>
      <c r="L28" s="6">
        <f>SUM(H$2:H28)</f>
        <v>1521</v>
      </c>
      <c r="M28" s="1">
        <f>SUM(J$2:J28)</f>
        <v>168</v>
      </c>
      <c r="N28" s="1"/>
      <c r="O28" s="1"/>
    </row>
    <row r="29" spans="1:15" x14ac:dyDescent="0.3">
      <c r="A29" s="1">
        <v>28</v>
      </c>
      <c r="B29" s="4">
        <v>22301205</v>
      </c>
      <c r="C29" s="4" t="s">
        <v>9</v>
      </c>
      <c r="D29" s="4" t="s">
        <v>14</v>
      </c>
      <c r="E29" s="4">
        <v>6.2</v>
      </c>
      <c r="F29" s="4" t="s">
        <v>21</v>
      </c>
      <c r="G29" s="4" t="s">
        <v>16</v>
      </c>
      <c r="H29" s="4">
        <v>64</v>
      </c>
      <c r="I29" s="4" t="s">
        <v>19</v>
      </c>
      <c r="J29" s="1">
        <v>6</v>
      </c>
      <c r="K29" s="1">
        <f>SUM(E$2:E29)</f>
        <v>169</v>
      </c>
      <c r="L29" s="6">
        <f>SUM(H$2:H29)</f>
        <v>1585</v>
      </c>
      <c r="M29" s="1">
        <f>SUM(J$2:J29)</f>
        <v>174</v>
      </c>
      <c r="N29" s="4"/>
      <c r="O29" s="1"/>
    </row>
    <row r="30" spans="1:15" x14ac:dyDescent="0.3">
      <c r="A30" s="1">
        <v>29</v>
      </c>
      <c r="B30" s="4">
        <v>22201249</v>
      </c>
      <c r="C30" s="4" t="s">
        <v>9</v>
      </c>
      <c r="D30" s="4" t="s">
        <v>14</v>
      </c>
      <c r="E30" s="4">
        <v>6.2</v>
      </c>
      <c r="F30" s="4" t="s">
        <v>21</v>
      </c>
      <c r="G30" s="4" t="s">
        <v>15</v>
      </c>
      <c r="H30" s="4">
        <v>58</v>
      </c>
      <c r="I30" s="4" t="s">
        <v>19</v>
      </c>
      <c r="J30" s="1">
        <v>7</v>
      </c>
      <c r="K30" s="1">
        <f>SUM(E$2:E30)</f>
        <v>175.2</v>
      </c>
      <c r="L30" s="6">
        <f>SUM(H$2:H30)</f>
        <v>1643</v>
      </c>
      <c r="M30" s="1">
        <f>SUM(J$2:J30)</f>
        <v>181</v>
      </c>
      <c r="N30" s="4"/>
      <c r="O30" s="1"/>
    </row>
    <row r="31" spans="1:15" x14ac:dyDescent="0.3">
      <c r="A31" s="1">
        <v>30</v>
      </c>
      <c r="B31" s="4">
        <v>22301361</v>
      </c>
      <c r="C31" s="4" t="s">
        <v>9</v>
      </c>
      <c r="D31" s="4" t="s">
        <v>14</v>
      </c>
      <c r="E31" s="4">
        <v>5.9</v>
      </c>
      <c r="F31" s="4" t="s">
        <v>21</v>
      </c>
      <c r="G31" s="4" t="s">
        <v>16</v>
      </c>
      <c r="H31" s="4">
        <v>60</v>
      </c>
      <c r="I31" s="4" t="s">
        <v>19</v>
      </c>
      <c r="J31" s="1">
        <v>8</v>
      </c>
      <c r="K31" s="1">
        <f>SUM(E$2:E31)</f>
        <v>181.1</v>
      </c>
      <c r="L31" s="6">
        <f>SUM(H$2:H31)</f>
        <v>1703</v>
      </c>
      <c r="M31" s="1">
        <f>SUM(J$2:J31)</f>
        <v>189</v>
      </c>
      <c r="N31" s="4"/>
      <c r="O31" s="1"/>
    </row>
    <row r="32" spans="1:15" x14ac:dyDescent="0.3">
      <c r="A32" s="1">
        <v>31</v>
      </c>
      <c r="B32" s="4">
        <v>22105004</v>
      </c>
      <c r="C32" s="4" t="s">
        <v>9</v>
      </c>
      <c r="D32" s="4" t="s">
        <v>14</v>
      </c>
      <c r="E32" s="4">
        <v>6.2</v>
      </c>
      <c r="F32" s="4" t="s">
        <v>23</v>
      </c>
      <c r="G32" s="4" t="s">
        <v>16</v>
      </c>
      <c r="H32" s="4">
        <v>62</v>
      </c>
      <c r="I32" s="4" t="s">
        <v>19</v>
      </c>
      <c r="J32" s="1">
        <v>4</v>
      </c>
      <c r="K32" s="1">
        <f>SUM(E$2:E32)</f>
        <v>187.29999999999998</v>
      </c>
      <c r="L32" s="6">
        <f>SUM(H$2:H32)</f>
        <v>1765</v>
      </c>
      <c r="M32" s="1">
        <f>SUM(J$2:J32)</f>
        <v>193</v>
      </c>
      <c r="N32" s="4"/>
      <c r="O32" s="1"/>
    </row>
    <row r="33" spans="1:15" x14ac:dyDescent="0.3">
      <c r="A33" s="1">
        <v>32</v>
      </c>
      <c r="B33" s="4">
        <v>22321119</v>
      </c>
      <c r="C33" s="4" t="s">
        <v>9</v>
      </c>
      <c r="D33" s="4" t="s">
        <v>14</v>
      </c>
      <c r="E33" s="4">
        <v>6.3</v>
      </c>
      <c r="F33" s="4" t="s">
        <v>21</v>
      </c>
      <c r="G33" s="4" t="s">
        <v>16</v>
      </c>
      <c r="H33" s="4">
        <v>60</v>
      </c>
      <c r="I33" s="4" t="s">
        <v>19</v>
      </c>
      <c r="J33" s="1">
        <v>5</v>
      </c>
      <c r="K33" s="1">
        <f>SUM(E$2:E33)</f>
        <v>193.6</v>
      </c>
      <c r="L33" s="6">
        <f>SUM(H$2:H33)</f>
        <v>1825</v>
      </c>
      <c r="M33" s="1">
        <f>SUM(J$2:J33)</f>
        <v>198</v>
      </c>
      <c r="N33" s="4"/>
      <c r="O33" s="1"/>
    </row>
    <row r="34" spans="1:15" x14ac:dyDescent="0.3">
      <c r="A34" s="1">
        <v>33</v>
      </c>
      <c r="B34" s="4">
        <v>112065</v>
      </c>
      <c r="C34" s="4" t="s">
        <v>24</v>
      </c>
      <c r="D34" s="4" t="s">
        <v>14</v>
      </c>
      <c r="E34" s="4">
        <v>5.8</v>
      </c>
      <c r="F34" s="4" t="s">
        <v>21</v>
      </c>
      <c r="G34" s="4" t="s">
        <v>16</v>
      </c>
      <c r="H34" s="4">
        <v>59</v>
      </c>
      <c r="I34" s="4" t="s">
        <v>19</v>
      </c>
      <c r="J34" s="1">
        <v>9</v>
      </c>
      <c r="K34" s="1">
        <f>SUM(E$2:E34)</f>
        <v>199.4</v>
      </c>
      <c r="L34" s="6">
        <f>SUM(H$2:H34)</f>
        <v>1884</v>
      </c>
      <c r="M34" s="1">
        <f>SUM(J$2:J34)</f>
        <v>207</v>
      </c>
      <c r="N34" s="4"/>
      <c r="O34" s="1"/>
    </row>
    <row r="35" spans="1:15" x14ac:dyDescent="0.3">
      <c r="A35" s="1">
        <v>34</v>
      </c>
      <c r="B35" s="4">
        <v>22301410</v>
      </c>
      <c r="C35" s="4" t="s">
        <v>9</v>
      </c>
      <c r="D35" s="4" t="s">
        <v>13</v>
      </c>
      <c r="E35" s="4">
        <v>5.7</v>
      </c>
      <c r="F35" s="4" t="s">
        <v>21</v>
      </c>
      <c r="G35" s="4" t="s">
        <v>15</v>
      </c>
      <c r="H35" s="4">
        <v>58</v>
      </c>
      <c r="I35" s="4" t="s">
        <v>19</v>
      </c>
      <c r="J35" s="1">
        <v>10</v>
      </c>
      <c r="K35" s="1">
        <f>SUM(E$2:E35)</f>
        <v>205.1</v>
      </c>
      <c r="L35" s="6">
        <f>SUM(H$2:H35)</f>
        <v>1942</v>
      </c>
      <c r="M35" s="1">
        <f>SUM(J$2:J35)</f>
        <v>217</v>
      </c>
      <c r="N35" s="4"/>
      <c r="O35" s="1"/>
    </row>
    <row r="36" spans="1:15" x14ac:dyDescent="0.3">
      <c r="A36" s="1">
        <v>35</v>
      </c>
      <c r="B36" s="1">
        <v>2110869133</v>
      </c>
      <c r="C36" s="4" t="s">
        <v>25</v>
      </c>
      <c r="D36" s="4" t="s">
        <v>14</v>
      </c>
      <c r="E36" s="4">
        <v>5.7</v>
      </c>
      <c r="F36" s="4" t="s">
        <v>21</v>
      </c>
      <c r="G36" s="4" t="s">
        <v>16</v>
      </c>
      <c r="H36" s="4">
        <v>62</v>
      </c>
      <c r="I36" s="4" t="s">
        <v>19</v>
      </c>
      <c r="J36" s="1">
        <v>5</v>
      </c>
      <c r="K36" s="1">
        <f>SUM(E$2:E36)</f>
        <v>210.79999999999998</v>
      </c>
      <c r="L36" s="6">
        <f>SUM(H$2:H36)</f>
        <v>2004</v>
      </c>
      <c r="M36" s="1">
        <f>SUM(J$2:J36)</f>
        <v>222</v>
      </c>
      <c r="N36" s="4"/>
      <c r="O36" s="1"/>
    </row>
    <row r="37" spans="1:15" x14ac:dyDescent="0.3">
      <c r="A37" s="1">
        <v>36</v>
      </c>
      <c r="B37" s="5">
        <v>22304127</v>
      </c>
      <c r="C37" s="4" t="s">
        <v>9</v>
      </c>
      <c r="D37" s="4" t="s">
        <v>13</v>
      </c>
      <c r="E37" s="4">
        <v>5.7</v>
      </c>
      <c r="F37" s="4" t="s">
        <v>21</v>
      </c>
      <c r="G37" s="4" t="s">
        <v>16</v>
      </c>
      <c r="H37" s="4">
        <v>59</v>
      </c>
      <c r="I37" s="4" t="s">
        <v>19</v>
      </c>
      <c r="J37" s="1">
        <v>6</v>
      </c>
      <c r="K37" s="1">
        <f>SUM(E$2:E37)</f>
        <v>216.49999999999997</v>
      </c>
      <c r="L37" s="6">
        <f>SUM(H$2:H37)</f>
        <v>2063</v>
      </c>
      <c r="M37" s="1">
        <f>SUM(J$2:J37)</f>
        <v>228</v>
      </c>
      <c r="N37" s="4"/>
      <c r="O37" s="1"/>
    </row>
    <row r="38" spans="1:15" x14ac:dyDescent="0.3">
      <c r="A38" s="1">
        <v>37</v>
      </c>
      <c r="B38" s="5">
        <v>22101557</v>
      </c>
      <c r="C38" s="4" t="s">
        <v>9</v>
      </c>
      <c r="D38" s="4" t="s">
        <v>14</v>
      </c>
      <c r="E38" s="4">
        <v>6.4</v>
      </c>
      <c r="F38" s="4" t="s">
        <v>23</v>
      </c>
      <c r="G38" s="4" t="s">
        <v>15</v>
      </c>
      <c r="H38" s="4">
        <v>65</v>
      </c>
      <c r="I38" s="4" t="s">
        <v>19</v>
      </c>
      <c r="J38" s="1">
        <v>7</v>
      </c>
      <c r="K38" s="1">
        <f>SUM(E$2:E38)</f>
        <v>222.89999999999998</v>
      </c>
      <c r="L38" s="6">
        <f>SUM(H$2:H38)</f>
        <v>2128</v>
      </c>
      <c r="M38" s="1">
        <f>SUM(J$2:J38)</f>
        <v>235</v>
      </c>
      <c r="N38" s="4"/>
      <c r="O38" s="1"/>
    </row>
    <row r="39" spans="1:15" x14ac:dyDescent="0.3">
      <c r="A39" s="1">
        <v>38</v>
      </c>
      <c r="B39" s="5">
        <v>22101832</v>
      </c>
      <c r="C39" s="4" t="s">
        <v>9</v>
      </c>
      <c r="D39" s="4" t="s">
        <v>14</v>
      </c>
      <c r="E39" s="4">
        <v>6.2</v>
      </c>
      <c r="F39" s="4" t="s">
        <v>23</v>
      </c>
      <c r="G39" s="4" t="s">
        <v>16</v>
      </c>
      <c r="H39" s="4">
        <v>60</v>
      </c>
      <c r="I39" s="4" t="s">
        <v>19</v>
      </c>
      <c r="J39" s="1">
        <v>8</v>
      </c>
      <c r="K39" s="1">
        <f>SUM(E$2:E39)</f>
        <v>229.09999999999997</v>
      </c>
      <c r="L39" s="6">
        <f>SUM(H$2:H39)</f>
        <v>2188</v>
      </c>
      <c r="M39" s="1">
        <f>SUM(J$2:J39)</f>
        <v>243</v>
      </c>
      <c r="N39" s="4"/>
      <c r="O39" s="1"/>
    </row>
    <row r="40" spans="1:15" x14ac:dyDescent="0.3">
      <c r="A40" s="1">
        <v>39</v>
      </c>
      <c r="B40" s="5">
        <v>22301202</v>
      </c>
      <c r="C40" s="4" t="s">
        <v>9</v>
      </c>
      <c r="D40" s="4" t="s">
        <v>14</v>
      </c>
      <c r="E40" s="4">
        <v>5.9</v>
      </c>
      <c r="F40" s="4" t="s">
        <v>21</v>
      </c>
      <c r="G40" s="4" t="s">
        <v>15</v>
      </c>
      <c r="H40" s="4">
        <v>58</v>
      </c>
      <c r="I40" s="4" t="s">
        <v>19</v>
      </c>
      <c r="J40" s="1">
        <v>9</v>
      </c>
      <c r="K40" s="1">
        <f>SUM(E$2:E40)</f>
        <v>234.99999999999997</v>
      </c>
      <c r="L40" s="6">
        <f>SUM(H$2:H40)</f>
        <v>2246</v>
      </c>
      <c r="M40" s="1">
        <f>SUM(J$2:J40)</f>
        <v>252</v>
      </c>
      <c r="N40" s="4"/>
      <c r="O40" s="1"/>
    </row>
    <row r="41" spans="1:15" x14ac:dyDescent="0.3">
      <c r="A41" s="1">
        <v>40</v>
      </c>
      <c r="B41" s="5">
        <v>22301184</v>
      </c>
      <c r="C41" s="4" t="s">
        <v>9</v>
      </c>
      <c r="D41" s="4" t="s">
        <v>14</v>
      </c>
      <c r="E41" s="4">
        <v>5.7</v>
      </c>
      <c r="F41" s="4" t="s">
        <v>21</v>
      </c>
      <c r="G41" s="4" t="s">
        <v>16</v>
      </c>
      <c r="H41" s="4">
        <v>58</v>
      </c>
      <c r="I41" s="4" t="s">
        <v>19</v>
      </c>
      <c r="J41" s="1">
        <v>6</v>
      </c>
      <c r="K41" s="1">
        <f>SUM(E$2:E41)</f>
        <v>240.69999999999996</v>
      </c>
      <c r="L41" s="6">
        <f>SUM(H$2:H41)</f>
        <v>2304</v>
      </c>
      <c r="M41" s="1">
        <f>SUM(J$2:J41)</f>
        <v>258</v>
      </c>
      <c r="N41" s="4"/>
      <c r="O41" s="1"/>
    </row>
    <row r="42" spans="1:15" x14ac:dyDescent="0.3">
      <c r="A42" s="1">
        <v>41</v>
      </c>
      <c r="B42" s="5">
        <v>22301279</v>
      </c>
      <c r="C42" s="4" t="s">
        <v>9</v>
      </c>
      <c r="D42" s="4" t="s">
        <v>14</v>
      </c>
      <c r="E42" s="4">
        <v>5.8</v>
      </c>
      <c r="F42" s="4" t="s">
        <v>21</v>
      </c>
      <c r="G42" s="4" t="s">
        <v>16</v>
      </c>
      <c r="H42" s="4">
        <v>59</v>
      </c>
      <c r="I42" s="4" t="s">
        <v>19</v>
      </c>
      <c r="J42" s="1">
        <v>5</v>
      </c>
      <c r="K42" s="1">
        <f>SUM(E$2:E42)</f>
        <v>246.49999999999997</v>
      </c>
      <c r="L42" s="6">
        <f>SUM(H$2:H42)</f>
        <v>2363</v>
      </c>
      <c r="M42" s="1">
        <f>SUM(J$2:J42)</f>
        <v>263</v>
      </c>
      <c r="N42" s="4"/>
      <c r="O42" s="1"/>
    </row>
    <row r="43" spans="1:15" x14ac:dyDescent="0.3">
      <c r="A43" s="1">
        <v>42</v>
      </c>
      <c r="B43" s="5">
        <v>22301281</v>
      </c>
      <c r="C43" s="4" t="s">
        <v>9</v>
      </c>
      <c r="D43" s="4" t="s">
        <v>14</v>
      </c>
      <c r="E43" s="4">
        <v>5.7</v>
      </c>
      <c r="F43" s="4" t="s">
        <v>21</v>
      </c>
      <c r="G43" s="4" t="s">
        <v>15</v>
      </c>
      <c r="H43" s="4">
        <v>60</v>
      </c>
      <c r="I43" s="4" t="s">
        <v>19</v>
      </c>
      <c r="J43" s="1">
        <v>4</v>
      </c>
      <c r="K43" s="1">
        <f>SUM(E$2:E43)</f>
        <v>252.19999999999996</v>
      </c>
      <c r="L43" s="6">
        <f>SUM(H$2:H43)</f>
        <v>2423</v>
      </c>
      <c r="M43" s="1">
        <f>SUM(J$2:J43)</f>
        <v>267</v>
      </c>
      <c r="N43" s="4"/>
      <c r="O43" s="1"/>
    </row>
    <row r="44" spans="1:15" x14ac:dyDescent="0.3">
      <c r="A44" s="1">
        <v>43</v>
      </c>
      <c r="B44" s="5">
        <v>22301496</v>
      </c>
      <c r="C44" s="4" t="s">
        <v>9</v>
      </c>
      <c r="D44" s="4" t="s">
        <v>14</v>
      </c>
      <c r="E44" s="4">
        <v>6.3</v>
      </c>
      <c r="F44" s="4" t="s">
        <v>21</v>
      </c>
      <c r="G44" s="4" t="s">
        <v>16</v>
      </c>
      <c r="H44" s="4">
        <v>79</v>
      </c>
      <c r="I44" s="4" t="s">
        <v>19</v>
      </c>
      <c r="J44" s="1">
        <v>6</v>
      </c>
      <c r="K44" s="1">
        <f>SUM(E$2:E44)</f>
        <v>258.49999999999994</v>
      </c>
      <c r="L44" s="6">
        <f>SUM(H$2:H44)</f>
        <v>2502</v>
      </c>
      <c r="M44" s="1">
        <f>SUM(J$2:J44)</f>
        <v>273</v>
      </c>
      <c r="N44" s="4"/>
      <c r="O44" s="1"/>
    </row>
    <row r="45" spans="1:15" x14ac:dyDescent="0.3">
      <c r="A45" s="1">
        <v>44</v>
      </c>
      <c r="B45" s="5">
        <v>22201420</v>
      </c>
      <c r="C45" s="4" t="s">
        <v>9</v>
      </c>
      <c r="D45" s="4" t="s">
        <v>14</v>
      </c>
      <c r="E45" s="4">
        <v>5.8</v>
      </c>
      <c r="F45" s="4" t="s">
        <v>26</v>
      </c>
      <c r="G45" s="4" t="s">
        <v>16</v>
      </c>
      <c r="H45" s="4">
        <v>78</v>
      </c>
      <c r="I45" s="4" t="s">
        <v>19</v>
      </c>
      <c r="J45" s="1">
        <v>7</v>
      </c>
      <c r="K45" s="1">
        <f>SUM(E$2:E45)</f>
        <v>264.29999999999995</v>
      </c>
      <c r="L45" s="6">
        <f>SUM(H$2:H45)</f>
        <v>2580</v>
      </c>
      <c r="M45" s="1">
        <f>SUM(J$2:J45)</f>
        <v>280</v>
      </c>
      <c r="N45" s="4"/>
      <c r="O45" s="1"/>
    </row>
    <row r="46" spans="1:15" x14ac:dyDescent="0.3">
      <c r="A46" s="1">
        <v>45</v>
      </c>
      <c r="B46" s="5">
        <v>21201361</v>
      </c>
      <c r="C46" s="4" t="s">
        <v>9</v>
      </c>
      <c r="D46" s="4" t="s">
        <v>14</v>
      </c>
      <c r="E46" s="4">
        <v>5.0999999999999996</v>
      </c>
      <c r="F46" s="4" t="s">
        <v>22</v>
      </c>
      <c r="G46" s="4" t="s">
        <v>16</v>
      </c>
      <c r="H46" s="4">
        <v>58</v>
      </c>
      <c r="I46" s="4" t="s">
        <v>19</v>
      </c>
      <c r="J46" s="1">
        <v>8</v>
      </c>
      <c r="K46" s="1">
        <f>SUM(E$2:E46)</f>
        <v>269.39999999999998</v>
      </c>
      <c r="L46" s="6">
        <f>SUM(H$2:H46)</f>
        <v>2638</v>
      </c>
      <c r="M46" s="1">
        <f>SUM(J$2:J46)</f>
        <v>288</v>
      </c>
      <c r="N46" s="4"/>
      <c r="O46" s="1"/>
    </row>
    <row r="47" spans="1:15" x14ac:dyDescent="0.3">
      <c r="A47" s="1">
        <v>46</v>
      </c>
      <c r="B47" s="5">
        <v>22301203</v>
      </c>
      <c r="C47" s="4" t="s">
        <v>9</v>
      </c>
      <c r="D47" s="4" t="s">
        <v>14</v>
      </c>
      <c r="E47" s="4">
        <v>6.8</v>
      </c>
      <c r="F47" s="4" t="s">
        <v>21</v>
      </c>
      <c r="G47" s="4" t="s">
        <v>15</v>
      </c>
      <c r="H47" s="4">
        <v>57</v>
      </c>
      <c r="I47" s="4" t="s">
        <v>19</v>
      </c>
      <c r="J47" s="1">
        <v>5</v>
      </c>
      <c r="K47" s="1">
        <f>SUM(E$2:E47)</f>
        <v>276.2</v>
      </c>
      <c r="L47" s="6">
        <f>SUM(H$2:H47)</f>
        <v>2695</v>
      </c>
      <c r="M47" s="1">
        <f>SUM(J$2:J47)</f>
        <v>293</v>
      </c>
      <c r="N47" s="4"/>
      <c r="O47" s="1"/>
    </row>
    <row r="48" spans="1:15" x14ac:dyDescent="0.3">
      <c r="A48" s="1">
        <v>47</v>
      </c>
      <c r="B48" s="5">
        <v>22221066</v>
      </c>
      <c r="C48" s="4" t="s">
        <v>9</v>
      </c>
      <c r="D48" s="4" t="s">
        <v>14</v>
      </c>
      <c r="E48" s="4">
        <v>6.7</v>
      </c>
      <c r="F48" s="4" t="s">
        <v>21</v>
      </c>
      <c r="G48" s="4" t="s">
        <v>15</v>
      </c>
      <c r="H48" s="4">
        <v>59</v>
      </c>
      <c r="I48" s="4" t="s">
        <v>19</v>
      </c>
      <c r="J48" s="1">
        <v>6</v>
      </c>
      <c r="K48" s="1">
        <f>SUM(E$2:E48)</f>
        <v>282.89999999999998</v>
      </c>
      <c r="L48" s="6">
        <f>SUM(H$2:H48)</f>
        <v>2754</v>
      </c>
      <c r="M48" s="1">
        <f>SUM(J$2:J48)</f>
        <v>299</v>
      </c>
      <c r="N48" s="4"/>
      <c r="O48" s="1"/>
    </row>
    <row r="49" spans="1:15" x14ac:dyDescent="0.3">
      <c r="A49" s="1">
        <v>48</v>
      </c>
      <c r="B49" s="5">
        <v>22301227</v>
      </c>
      <c r="C49" s="4" t="s">
        <v>9</v>
      </c>
      <c r="D49" s="4" t="s">
        <v>14</v>
      </c>
      <c r="E49" s="4">
        <v>5.9</v>
      </c>
      <c r="F49" s="4" t="s">
        <v>21</v>
      </c>
      <c r="G49" s="1" t="s">
        <v>16</v>
      </c>
      <c r="H49" s="4">
        <v>60</v>
      </c>
      <c r="I49" s="4" t="s">
        <v>19</v>
      </c>
      <c r="J49" s="1">
        <v>7</v>
      </c>
      <c r="K49" s="1">
        <f>SUM(E$2:E49)</f>
        <v>288.79999999999995</v>
      </c>
      <c r="L49" s="6">
        <f>SUM(H$2:H49)</f>
        <v>2814</v>
      </c>
      <c r="M49" s="1">
        <f>SUM(J$2:J49)</f>
        <v>306</v>
      </c>
      <c r="N49" s="4"/>
      <c r="O49" s="1"/>
    </row>
    <row r="50" spans="1:15" x14ac:dyDescent="0.3">
      <c r="A50" s="1">
        <v>49</v>
      </c>
      <c r="B50" s="5">
        <v>22301165</v>
      </c>
      <c r="C50" s="4" t="s">
        <v>9</v>
      </c>
      <c r="D50" s="4" t="s">
        <v>14</v>
      </c>
      <c r="E50" s="4">
        <v>5.0999999999999996</v>
      </c>
      <c r="F50" s="4" t="s">
        <v>21</v>
      </c>
      <c r="G50" s="4" t="s">
        <v>16</v>
      </c>
      <c r="H50" s="4">
        <v>72</v>
      </c>
      <c r="I50" s="4" t="s">
        <v>19</v>
      </c>
      <c r="J50" s="1">
        <v>8</v>
      </c>
      <c r="K50" s="1">
        <f>SUM(E$2:E50)</f>
        <v>293.89999999999998</v>
      </c>
      <c r="L50" s="6">
        <f>SUM(H$2:H50)</f>
        <v>2886</v>
      </c>
      <c r="M50" s="1">
        <f>SUM(J$2:J50)</f>
        <v>314</v>
      </c>
      <c r="N50" s="4"/>
      <c r="O50" s="1"/>
    </row>
    <row r="51" spans="1:15" x14ac:dyDescent="0.3">
      <c r="A51" s="1">
        <v>50</v>
      </c>
      <c r="B51" s="5">
        <v>22301061</v>
      </c>
      <c r="C51" s="4" t="s">
        <v>9</v>
      </c>
      <c r="D51" s="4" t="s">
        <v>14</v>
      </c>
      <c r="E51" s="4">
        <v>5.6</v>
      </c>
      <c r="F51" s="4" t="s">
        <v>21</v>
      </c>
      <c r="G51" s="4" t="s">
        <v>16</v>
      </c>
      <c r="H51" s="4">
        <v>69</v>
      </c>
      <c r="I51" s="4" t="s">
        <v>19</v>
      </c>
      <c r="J51" s="1">
        <v>9</v>
      </c>
      <c r="K51" s="1">
        <f>SUM(E$2:E51)</f>
        <v>299.5</v>
      </c>
      <c r="L51" s="6">
        <f>SUM(H$2:H51)</f>
        <v>2955</v>
      </c>
      <c r="M51" s="1">
        <f>SUM(J$2:J51)</f>
        <v>323</v>
      </c>
      <c r="N51" s="4"/>
      <c r="O51" s="1"/>
    </row>
    <row r="52" spans="1:15" x14ac:dyDescent="0.3">
      <c r="E52" t="s">
        <v>32</v>
      </c>
      <c r="H52" t="s">
        <v>33</v>
      </c>
      <c r="J52" t="s">
        <v>34</v>
      </c>
      <c r="K52" s="1" t="s">
        <v>35</v>
      </c>
      <c r="L52" s="6" t="s">
        <v>36</v>
      </c>
      <c r="M52" s="1" t="s">
        <v>37</v>
      </c>
      <c r="O5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CD53C3B-730B-4C8C-ABF6-A3826252122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Sheet1!E2:E2</xm:f>
              <xm:sqref>E2</xm:sqref>
            </x14:sparkline>
            <x14:sparkline>
              <xm:f>Sheet1!E3:E3</xm:f>
              <xm:sqref>E3</xm:sqref>
            </x14:sparkline>
            <x14:sparkline>
              <xm:f>Sheet1!E4:E4</xm:f>
              <xm:sqref>E4</xm:sqref>
            </x14:sparkline>
            <x14:sparkline>
              <xm:f>Sheet1!E5:E5</xm:f>
              <xm:sqref>E5</xm:sqref>
            </x14:sparkline>
            <x14:sparkline>
              <xm:f>Sheet1!E6:E6</xm:f>
              <xm:sqref>E6</xm:sqref>
            </x14:sparkline>
            <x14:sparkline>
              <xm:f>Sheet1!E7:E7</xm:f>
              <xm:sqref>E7</xm:sqref>
            </x14:sparkline>
            <x14:sparkline>
              <xm:f>Sheet1!E8:E8</xm:f>
              <xm:sqref>E8</xm:sqref>
            </x14:sparkline>
            <x14:sparkline>
              <xm:f>Sheet1!E9:E9</xm:f>
              <xm:sqref>E9</xm:sqref>
            </x14:sparkline>
            <x14:sparkline>
              <xm:f>Sheet1!E10:E10</xm:f>
              <xm:sqref>E10</xm:sqref>
            </x14:sparkline>
            <x14:sparkline>
              <xm:f>Sheet1!E11:E11</xm:f>
              <xm:sqref>E11</xm:sqref>
            </x14:sparkline>
            <x14:sparkline>
              <xm:f>Sheet1!E12:E12</xm:f>
              <xm:sqref>E12</xm:sqref>
            </x14:sparkline>
            <x14:sparkline>
              <xm:f>Sheet1!E13:E13</xm:f>
              <xm:sqref>E13</xm:sqref>
            </x14:sparkline>
            <x14:sparkline>
              <xm:f>Sheet1!E14:E14</xm:f>
              <xm:sqref>E14</xm:sqref>
            </x14:sparkline>
            <x14:sparkline>
              <xm:f>Sheet1!E15:E15</xm:f>
              <xm:sqref>E15</xm:sqref>
            </x14:sparkline>
            <x14:sparkline>
              <xm:f>Sheet1!E16:E16</xm:f>
              <xm:sqref>E16</xm:sqref>
            </x14:sparkline>
            <x14:sparkline>
              <xm:f>Sheet1!E17:E17</xm:f>
              <xm:sqref>E17</xm:sqref>
            </x14:sparkline>
            <x14:sparkline>
              <xm:f>Sheet1!E18:E18</xm:f>
              <xm:sqref>E18</xm:sqref>
            </x14:sparkline>
            <x14:sparkline>
              <xm:f>Sheet1!E19:E19</xm:f>
              <xm:sqref>E19</xm:sqref>
            </x14:sparkline>
            <x14:sparkline>
              <xm:f>Sheet1!E20:E20</xm:f>
              <xm:sqref>E20</xm:sqref>
            </x14:sparkline>
            <x14:sparkline>
              <xm:f>Sheet1!E21:E21</xm:f>
              <xm:sqref>E21</xm:sqref>
            </x14:sparkline>
            <x14:sparkline>
              <xm:f>Sheet1!E22:E22</xm:f>
              <xm:sqref>E22</xm:sqref>
            </x14:sparkline>
            <x14:sparkline>
              <xm:f>Sheet1!E23:E23</xm:f>
              <xm:sqref>E23</xm:sqref>
            </x14:sparkline>
            <x14:sparkline>
              <xm:f>Sheet1!E24:E24</xm:f>
              <xm:sqref>E24</xm:sqref>
            </x14:sparkline>
            <x14:sparkline>
              <xm:f>Sheet1!E25:E25</xm:f>
              <xm:sqref>E25</xm:sqref>
            </x14:sparkline>
            <x14:sparkline>
              <xm:f>Sheet1!E26:E26</xm:f>
              <xm:sqref>E26</xm:sqref>
            </x14:sparkline>
            <x14:sparkline>
              <xm:f>Sheet1!E27:E27</xm:f>
              <xm:sqref>E27</xm:sqref>
            </x14:sparkline>
            <x14:sparkline>
              <xm:f>Sheet1!E28:E28</xm:f>
              <xm:sqref>E28</xm:sqref>
            </x14:sparkline>
            <x14:sparkline>
              <xm:f>Sheet1!E29:E29</xm:f>
              <xm:sqref>E29</xm:sqref>
            </x14:sparkline>
            <x14:sparkline>
              <xm:f>Sheet1!E30:E30</xm:f>
              <xm:sqref>E30</xm:sqref>
            </x14:sparkline>
            <x14:sparkline>
              <xm:f>Sheet1!E31:E31</xm:f>
              <xm:sqref>E31</xm:sqref>
            </x14:sparkline>
            <x14:sparkline>
              <xm:f>Sheet1!E32:E32</xm:f>
              <xm:sqref>E32</xm:sqref>
            </x14:sparkline>
            <x14:sparkline>
              <xm:f>Sheet1!E33:E33</xm:f>
              <xm:sqref>E33</xm:sqref>
            </x14:sparkline>
            <x14:sparkline>
              <xm:f>Sheet1!E34:E34</xm:f>
              <xm:sqref>E34</xm:sqref>
            </x14:sparkline>
            <x14:sparkline>
              <xm:f>Sheet1!E35:E35</xm:f>
              <xm:sqref>E35</xm:sqref>
            </x14:sparkline>
            <x14:sparkline>
              <xm:f>Sheet1!E36:E36</xm:f>
              <xm:sqref>E36</xm:sqref>
            </x14:sparkline>
            <x14:sparkline>
              <xm:f>Sheet1!E37:E37</xm:f>
              <xm:sqref>E37</xm:sqref>
            </x14:sparkline>
            <x14:sparkline>
              <xm:f>Sheet1!E38:E38</xm:f>
              <xm:sqref>E38</xm:sqref>
            </x14:sparkline>
            <x14:sparkline>
              <xm:f>Sheet1!E39:E39</xm:f>
              <xm:sqref>E39</xm:sqref>
            </x14:sparkline>
            <x14:sparkline>
              <xm:f>Sheet1!E40:E40</xm:f>
              <xm:sqref>E40</xm:sqref>
            </x14:sparkline>
            <x14:sparkline>
              <xm:f>Sheet1!E41:E41</xm:f>
              <xm:sqref>E41</xm:sqref>
            </x14:sparkline>
            <x14:sparkline>
              <xm:f>Sheet1!E42:E42</xm:f>
              <xm:sqref>E42</xm:sqref>
            </x14:sparkline>
            <x14:sparkline>
              <xm:f>Sheet1!E43:E43</xm:f>
              <xm:sqref>E43</xm:sqref>
            </x14:sparkline>
            <x14:sparkline>
              <xm:f>Sheet1!E44:E44</xm:f>
              <xm:sqref>E44</xm:sqref>
            </x14:sparkline>
            <x14:sparkline>
              <xm:f>Sheet1!E45:E45</xm:f>
              <xm:sqref>E45</xm:sqref>
            </x14:sparkline>
            <x14:sparkline>
              <xm:f>Sheet1!E46:E46</xm:f>
              <xm:sqref>E46</xm:sqref>
            </x14:sparkline>
            <x14:sparkline>
              <xm:f>Sheet1!E47:E47</xm:f>
              <xm:sqref>E47</xm:sqref>
            </x14:sparkline>
            <x14:sparkline>
              <xm:f>Sheet1!E48:E48</xm:f>
              <xm:sqref>E48</xm:sqref>
            </x14:sparkline>
            <x14:sparkline>
              <xm:f>Sheet1!E49:E49</xm:f>
              <xm:sqref>E49</xm:sqref>
            </x14:sparkline>
            <x14:sparkline>
              <xm:f>Sheet1!E50:E50</xm:f>
              <xm:sqref>E50</xm:sqref>
            </x14:sparkline>
            <x14:sparkline>
              <xm:f>Sheet1!E51:E51</xm:f>
              <xm:sqref>E51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4451-300C-4A9E-81E7-684CAD5F3D0D}">
  <dimension ref="A1:F52"/>
  <sheetViews>
    <sheetView workbookViewId="0">
      <selection activeCell="A2" sqref="A2:A51"/>
    </sheetView>
  </sheetViews>
  <sheetFormatPr defaultRowHeight="14.4" x14ac:dyDescent="0.3"/>
  <cols>
    <col min="1" max="1" width="15.33203125" customWidth="1"/>
    <col min="2" max="2" width="14.6640625" customWidth="1"/>
    <col min="3" max="3" width="12.88671875" customWidth="1"/>
    <col min="4" max="4" width="11.77734375" customWidth="1"/>
    <col min="5" max="5" width="22.109375" customWidth="1"/>
  </cols>
  <sheetData>
    <row r="1" spans="1:6" ht="16.8" thickBot="1" x14ac:dyDescent="0.35">
      <c r="A1" s="10" t="s">
        <v>38</v>
      </c>
      <c r="B1" s="10" t="s">
        <v>50</v>
      </c>
      <c r="C1" s="10" t="s">
        <v>48</v>
      </c>
      <c r="D1" s="10" t="s">
        <v>50</v>
      </c>
      <c r="E1" s="2" t="s">
        <v>54</v>
      </c>
      <c r="F1" s="10" t="s">
        <v>50</v>
      </c>
    </row>
    <row r="2" spans="1:6" ht="15" thickBot="1" x14ac:dyDescent="0.35">
      <c r="A2" s="3">
        <v>6.4</v>
      </c>
      <c r="B2" s="1">
        <f>SUM(A2*A2)</f>
        <v>40.960000000000008</v>
      </c>
      <c r="C2" s="3">
        <v>52</v>
      </c>
      <c r="D2" s="1">
        <f>SUM(C2*C2)</f>
        <v>2704</v>
      </c>
      <c r="E2" s="1">
        <v>6</v>
      </c>
      <c r="F2" s="1">
        <f>SUM(E2*E2)</f>
        <v>36</v>
      </c>
    </row>
    <row r="3" spans="1:6" ht="15" thickBot="1" x14ac:dyDescent="0.35">
      <c r="A3" s="3">
        <v>6.4</v>
      </c>
      <c r="B3" s="1">
        <f t="shared" ref="B3:B51" si="0">SUM(A3*A3)</f>
        <v>40.960000000000008</v>
      </c>
      <c r="C3" s="3">
        <v>47</v>
      </c>
      <c r="D3" s="1">
        <f t="shared" ref="D3:D51" si="1">SUM(C3*C3)</f>
        <v>2209</v>
      </c>
      <c r="E3" s="1">
        <v>5</v>
      </c>
      <c r="F3" s="1">
        <f t="shared" ref="F3:F51" si="2">SUM(E3*E3)</f>
        <v>25</v>
      </c>
    </row>
    <row r="4" spans="1:6" ht="15" thickBot="1" x14ac:dyDescent="0.35">
      <c r="A4" s="3">
        <v>6.3</v>
      </c>
      <c r="B4" s="1">
        <f t="shared" si="0"/>
        <v>39.69</v>
      </c>
      <c r="C4" s="3">
        <v>55</v>
      </c>
      <c r="D4" s="1">
        <f t="shared" si="1"/>
        <v>3025</v>
      </c>
      <c r="E4" s="1">
        <v>6</v>
      </c>
      <c r="F4" s="1">
        <f t="shared" si="2"/>
        <v>36</v>
      </c>
    </row>
    <row r="5" spans="1:6" ht="15" thickBot="1" x14ac:dyDescent="0.35">
      <c r="A5" s="3">
        <v>4.8</v>
      </c>
      <c r="B5" s="1">
        <f t="shared" si="0"/>
        <v>23.04</v>
      </c>
      <c r="C5" s="3">
        <v>58</v>
      </c>
      <c r="D5" s="1">
        <f t="shared" si="1"/>
        <v>3364</v>
      </c>
      <c r="E5" s="1">
        <v>6</v>
      </c>
      <c r="F5" s="1">
        <f t="shared" si="2"/>
        <v>36</v>
      </c>
    </row>
    <row r="6" spans="1:6" ht="15" thickBot="1" x14ac:dyDescent="0.35">
      <c r="A6" s="3">
        <v>5.2</v>
      </c>
      <c r="B6" s="1">
        <f t="shared" si="0"/>
        <v>27.040000000000003</v>
      </c>
      <c r="C6" s="3">
        <v>52</v>
      </c>
      <c r="D6" s="1">
        <f t="shared" si="1"/>
        <v>2704</v>
      </c>
      <c r="E6" s="1">
        <v>7</v>
      </c>
      <c r="F6" s="1">
        <f t="shared" si="2"/>
        <v>49</v>
      </c>
    </row>
    <row r="7" spans="1:6" ht="15" thickBot="1" x14ac:dyDescent="0.35">
      <c r="A7" s="3">
        <v>5.6</v>
      </c>
      <c r="B7" s="1">
        <f t="shared" si="0"/>
        <v>31.359999999999996</v>
      </c>
      <c r="C7" s="3">
        <v>50</v>
      </c>
      <c r="D7" s="1">
        <f t="shared" si="1"/>
        <v>2500</v>
      </c>
      <c r="E7" s="1">
        <v>7</v>
      </c>
      <c r="F7" s="1">
        <f t="shared" si="2"/>
        <v>49</v>
      </c>
    </row>
    <row r="8" spans="1:6" ht="15" thickBot="1" x14ac:dyDescent="0.35">
      <c r="A8" s="3">
        <v>5.2</v>
      </c>
      <c r="B8" s="1">
        <f t="shared" si="0"/>
        <v>27.040000000000003</v>
      </c>
      <c r="C8" s="3">
        <v>47</v>
      </c>
      <c r="D8" s="1">
        <f t="shared" si="1"/>
        <v>2209</v>
      </c>
      <c r="E8" s="1">
        <v>5</v>
      </c>
      <c r="F8" s="1">
        <f t="shared" si="2"/>
        <v>25</v>
      </c>
    </row>
    <row r="9" spans="1:6" ht="15" thickBot="1" x14ac:dyDescent="0.35">
      <c r="A9" s="3">
        <v>5.4</v>
      </c>
      <c r="B9" s="1">
        <f t="shared" si="0"/>
        <v>29.160000000000004</v>
      </c>
      <c r="C9" s="3">
        <v>51</v>
      </c>
      <c r="D9" s="1">
        <f t="shared" si="1"/>
        <v>2601</v>
      </c>
      <c r="E9" s="1">
        <v>6</v>
      </c>
      <c r="F9" s="1">
        <f t="shared" si="2"/>
        <v>36</v>
      </c>
    </row>
    <row r="10" spans="1:6" ht="15" thickBot="1" x14ac:dyDescent="0.35">
      <c r="A10" s="3">
        <v>5.7</v>
      </c>
      <c r="B10" s="1">
        <f t="shared" si="0"/>
        <v>32.49</v>
      </c>
      <c r="C10" s="3">
        <v>85</v>
      </c>
      <c r="D10" s="1">
        <f t="shared" si="1"/>
        <v>7225</v>
      </c>
      <c r="E10" s="1">
        <v>7</v>
      </c>
      <c r="F10" s="1">
        <f t="shared" si="2"/>
        <v>49</v>
      </c>
    </row>
    <row r="11" spans="1:6" ht="15" thickBot="1" x14ac:dyDescent="0.35">
      <c r="A11" s="3">
        <v>5.5</v>
      </c>
      <c r="B11" s="1">
        <f t="shared" si="0"/>
        <v>30.25</v>
      </c>
      <c r="C11" s="3">
        <v>59</v>
      </c>
      <c r="D11" s="1">
        <f t="shared" si="1"/>
        <v>3481</v>
      </c>
      <c r="E11" s="1">
        <v>8</v>
      </c>
      <c r="F11" s="1">
        <f t="shared" si="2"/>
        <v>64</v>
      </c>
    </row>
    <row r="12" spans="1:6" ht="15" thickBot="1" x14ac:dyDescent="0.35">
      <c r="A12" s="3">
        <v>6.4</v>
      </c>
      <c r="B12" s="1">
        <f t="shared" si="0"/>
        <v>40.960000000000008</v>
      </c>
      <c r="C12" s="3">
        <v>62</v>
      </c>
      <c r="D12" s="1">
        <f t="shared" si="1"/>
        <v>3844</v>
      </c>
      <c r="E12" s="1">
        <v>6</v>
      </c>
      <c r="F12" s="1">
        <f t="shared" si="2"/>
        <v>36</v>
      </c>
    </row>
    <row r="13" spans="1:6" ht="15" thickBot="1" x14ac:dyDescent="0.35">
      <c r="A13" s="3">
        <v>5.0999999999999996</v>
      </c>
      <c r="B13" s="1">
        <f t="shared" si="0"/>
        <v>26.009999999999998</v>
      </c>
      <c r="C13" s="3">
        <v>32</v>
      </c>
      <c r="D13" s="1">
        <f t="shared" si="1"/>
        <v>1024</v>
      </c>
      <c r="E13" s="1">
        <v>5</v>
      </c>
      <c r="F13" s="1">
        <f t="shared" si="2"/>
        <v>25</v>
      </c>
    </row>
    <row r="14" spans="1:6" ht="15" thickBot="1" x14ac:dyDescent="0.35">
      <c r="A14" s="3">
        <v>6.6</v>
      </c>
      <c r="B14" s="1">
        <f t="shared" si="0"/>
        <v>43.559999999999995</v>
      </c>
      <c r="C14" s="3">
        <v>55</v>
      </c>
      <c r="D14" s="1">
        <f t="shared" si="1"/>
        <v>3025</v>
      </c>
      <c r="E14" s="1">
        <v>6</v>
      </c>
      <c r="F14" s="1">
        <f t="shared" si="2"/>
        <v>36</v>
      </c>
    </row>
    <row r="15" spans="1:6" ht="15" thickBot="1" x14ac:dyDescent="0.35">
      <c r="A15" s="3">
        <v>6.5</v>
      </c>
      <c r="B15" s="1">
        <f t="shared" si="0"/>
        <v>42.25</v>
      </c>
      <c r="C15" s="3">
        <v>65</v>
      </c>
      <c r="D15" s="1">
        <f t="shared" si="1"/>
        <v>4225</v>
      </c>
      <c r="E15" s="1">
        <v>7</v>
      </c>
      <c r="F15" s="1">
        <f t="shared" si="2"/>
        <v>49</v>
      </c>
    </row>
    <row r="16" spans="1:6" ht="15" thickBot="1" x14ac:dyDescent="0.35">
      <c r="A16" s="3">
        <v>6.6</v>
      </c>
      <c r="B16" s="1">
        <f t="shared" si="0"/>
        <v>43.559999999999995</v>
      </c>
      <c r="C16" s="3">
        <v>63</v>
      </c>
      <c r="D16" s="1">
        <f t="shared" si="1"/>
        <v>3969</v>
      </c>
      <c r="E16" s="1">
        <v>6</v>
      </c>
      <c r="F16" s="1">
        <f t="shared" si="2"/>
        <v>36</v>
      </c>
    </row>
    <row r="17" spans="1:6" ht="15" thickBot="1" x14ac:dyDescent="0.35">
      <c r="A17" s="3">
        <v>6.7</v>
      </c>
      <c r="B17" s="1">
        <f t="shared" si="0"/>
        <v>44.89</v>
      </c>
      <c r="C17" s="3">
        <v>60</v>
      </c>
      <c r="D17" s="1">
        <f t="shared" si="1"/>
        <v>3600</v>
      </c>
      <c r="E17" s="1">
        <v>5</v>
      </c>
      <c r="F17" s="1">
        <f t="shared" si="2"/>
        <v>25</v>
      </c>
    </row>
    <row r="18" spans="1:6" ht="15" thickBot="1" x14ac:dyDescent="0.35">
      <c r="A18" s="3">
        <v>6.5</v>
      </c>
      <c r="B18" s="1">
        <f t="shared" si="0"/>
        <v>42.25</v>
      </c>
      <c r="C18" s="3">
        <v>50</v>
      </c>
      <c r="D18" s="1">
        <f t="shared" si="1"/>
        <v>2500</v>
      </c>
      <c r="E18" s="1">
        <v>7</v>
      </c>
      <c r="F18" s="1">
        <f t="shared" si="2"/>
        <v>49</v>
      </c>
    </row>
    <row r="19" spans="1:6" ht="15" thickBot="1" x14ac:dyDescent="0.35">
      <c r="A19" s="3">
        <v>6.2</v>
      </c>
      <c r="B19" s="1">
        <f t="shared" si="0"/>
        <v>38.440000000000005</v>
      </c>
      <c r="C19" s="3">
        <v>48</v>
      </c>
      <c r="D19" s="1">
        <f t="shared" si="1"/>
        <v>2304</v>
      </c>
      <c r="E19" s="1">
        <v>6</v>
      </c>
      <c r="F19" s="1">
        <f t="shared" si="2"/>
        <v>36</v>
      </c>
    </row>
    <row r="20" spans="1:6" ht="15" thickBot="1" x14ac:dyDescent="0.35">
      <c r="A20" s="3">
        <v>6.9</v>
      </c>
      <c r="B20" s="1">
        <f t="shared" si="0"/>
        <v>47.610000000000007</v>
      </c>
      <c r="C20" s="3">
        <v>85</v>
      </c>
      <c r="D20" s="1">
        <f t="shared" si="1"/>
        <v>7225</v>
      </c>
      <c r="E20" s="1">
        <v>7</v>
      </c>
      <c r="F20" s="1">
        <f t="shared" si="2"/>
        <v>49</v>
      </c>
    </row>
    <row r="21" spans="1:6" ht="15" thickBot="1" x14ac:dyDescent="0.35">
      <c r="A21" s="3">
        <v>5.5</v>
      </c>
      <c r="B21" s="1">
        <f t="shared" si="0"/>
        <v>30.25</v>
      </c>
      <c r="C21" s="3">
        <v>48</v>
      </c>
      <c r="D21" s="1">
        <f t="shared" si="1"/>
        <v>2304</v>
      </c>
      <c r="E21" s="1">
        <v>8</v>
      </c>
      <c r="F21" s="1">
        <f t="shared" si="2"/>
        <v>64</v>
      </c>
    </row>
    <row r="22" spans="1:6" ht="15" thickBot="1" x14ac:dyDescent="0.35">
      <c r="A22" s="3">
        <v>5.5</v>
      </c>
      <c r="B22" s="1">
        <f t="shared" si="0"/>
        <v>30.25</v>
      </c>
      <c r="C22" s="3">
        <v>58</v>
      </c>
      <c r="D22" s="1">
        <f t="shared" si="1"/>
        <v>3364</v>
      </c>
      <c r="E22" s="1">
        <v>6</v>
      </c>
      <c r="F22" s="1">
        <f t="shared" si="2"/>
        <v>36</v>
      </c>
    </row>
    <row r="23" spans="1:6" ht="15" thickBot="1" x14ac:dyDescent="0.35">
      <c r="A23" s="3">
        <v>5.7</v>
      </c>
      <c r="B23" s="1">
        <f t="shared" si="0"/>
        <v>32.49</v>
      </c>
      <c r="C23" s="3">
        <v>65</v>
      </c>
      <c r="D23" s="1">
        <f t="shared" si="1"/>
        <v>4225</v>
      </c>
      <c r="E23" s="1">
        <v>5</v>
      </c>
      <c r="F23" s="1">
        <f t="shared" si="2"/>
        <v>25</v>
      </c>
    </row>
    <row r="24" spans="1:6" ht="15" thickBot="1" x14ac:dyDescent="0.35">
      <c r="A24" s="3">
        <v>6.4</v>
      </c>
      <c r="B24" s="1">
        <f t="shared" si="0"/>
        <v>40.960000000000008</v>
      </c>
      <c r="C24" s="3">
        <v>56</v>
      </c>
      <c r="D24" s="1">
        <f t="shared" si="1"/>
        <v>3136</v>
      </c>
      <c r="E24" s="1">
        <v>6</v>
      </c>
      <c r="F24" s="1">
        <f t="shared" si="2"/>
        <v>36</v>
      </c>
    </row>
    <row r="25" spans="1:6" ht="15" thickBot="1" x14ac:dyDescent="0.35">
      <c r="A25" s="3">
        <v>6.8</v>
      </c>
      <c r="B25" s="1">
        <f t="shared" si="0"/>
        <v>46.239999999999995</v>
      </c>
      <c r="C25" s="3">
        <v>50</v>
      </c>
      <c r="D25" s="1">
        <f t="shared" si="1"/>
        <v>2500</v>
      </c>
      <c r="E25" s="1">
        <v>7</v>
      </c>
      <c r="F25" s="1">
        <f t="shared" si="2"/>
        <v>49</v>
      </c>
    </row>
    <row r="26" spans="1:6" ht="15" thickBot="1" x14ac:dyDescent="0.35">
      <c r="A26" s="3">
        <v>6.1</v>
      </c>
      <c r="B26" s="1">
        <f t="shared" si="0"/>
        <v>37.209999999999994</v>
      </c>
      <c r="C26" s="3">
        <v>42</v>
      </c>
      <c r="D26" s="1">
        <f t="shared" si="1"/>
        <v>1764</v>
      </c>
      <c r="E26" s="1">
        <v>7</v>
      </c>
      <c r="F26" s="1">
        <f t="shared" si="2"/>
        <v>49</v>
      </c>
    </row>
    <row r="27" spans="1:6" x14ac:dyDescent="0.3">
      <c r="A27" s="1">
        <v>6.3</v>
      </c>
      <c r="B27" s="1">
        <f t="shared" si="0"/>
        <v>39.69</v>
      </c>
      <c r="C27" s="4">
        <v>61</v>
      </c>
      <c r="D27" s="1">
        <f t="shared" si="1"/>
        <v>3721</v>
      </c>
      <c r="E27" s="1">
        <v>6</v>
      </c>
      <c r="F27" s="1">
        <f t="shared" si="2"/>
        <v>36</v>
      </c>
    </row>
    <row r="28" spans="1:6" x14ac:dyDescent="0.3">
      <c r="A28" s="1">
        <v>6.5</v>
      </c>
      <c r="B28" s="1">
        <f t="shared" si="0"/>
        <v>42.25</v>
      </c>
      <c r="C28" s="4">
        <v>65</v>
      </c>
      <c r="D28" s="1">
        <f t="shared" si="1"/>
        <v>4225</v>
      </c>
      <c r="E28" s="1">
        <v>5</v>
      </c>
      <c r="F28" s="1">
        <f t="shared" si="2"/>
        <v>25</v>
      </c>
    </row>
    <row r="29" spans="1:6" x14ac:dyDescent="0.3">
      <c r="A29" s="4">
        <v>6.2</v>
      </c>
      <c r="B29" s="1">
        <f t="shared" si="0"/>
        <v>38.440000000000005</v>
      </c>
      <c r="C29" s="4">
        <v>64</v>
      </c>
      <c r="D29" s="1">
        <f t="shared" si="1"/>
        <v>4096</v>
      </c>
      <c r="E29" s="1">
        <v>6</v>
      </c>
      <c r="F29" s="1">
        <f t="shared" si="2"/>
        <v>36</v>
      </c>
    </row>
    <row r="30" spans="1:6" x14ac:dyDescent="0.3">
      <c r="A30" s="4">
        <v>6.2</v>
      </c>
      <c r="B30" s="1">
        <f t="shared" si="0"/>
        <v>38.440000000000005</v>
      </c>
      <c r="C30" s="4">
        <v>58</v>
      </c>
      <c r="D30" s="1">
        <f t="shared" si="1"/>
        <v>3364</v>
      </c>
      <c r="E30" s="1">
        <v>7</v>
      </c>
      <c r="F30" s="1">
        <f t="shared" si="2"/>
        <v>49</v>
      </c>
    </row>
    <row r="31" spans="1:6" x14ac:dyDescent="0.3">
      <c r="A31" s="4">
        <v>5.9</v>
      </c>
      <c r="B31" s="1">
        <f t="shared" si="0"/>
        <v>34.81</v>
      </c>
      <c r="C31" s="4">
        <v>60</v>
      </c>
      <c r="D31" s="1">
        <f t="shared" si="1"/>
        <v>3600</v>
      </c>
      <c r="E31" s="1">
        <v>8</v>
      </c>
      <c r="F31" s="1">
        <f t="shared" si="2"/>
        <v>64</v>
      </c>
    </row>
    <row r="32" spans="1:6" x14ac:dyDescent="0.3">
      <c r="A32" s="4">
        <v>6.2</v>
      </c>
      <c r="B32" s="1">
        <f t="shared" si="0"/>
        <v>38.440000000000005</v>
      </c>
      <c r="C32" s="4">
        <v>62</v>
      </c>
      <c r="D32" s="1">
        <f t="shared" si="1"/>
        <v>3844</v>
      </c>
      <c r="E32" s="1">
        <v>4</v>
      </c>
      <c r="F32" s="1">
        <f t="shared" si="2"/>
        <v>16</v>
      </c>
    </row>
    <row r="33" spans="1:6" x14ac:dyDescent="0.3">
      <c r="A33" s="4">
        <v>6.3</v>
      </c>
      <c r="B33" s="1">
        <f t="shared" si="0"/>
        <v>39.69</v>
      </c>
      <c r="C33" s="4">
        <v>60</v>
      </c>
      <c r="D33" s="1">
        <f t="shared" si="1"/>
        <v>3600</v>
      </c>
      <c r="E33" s="1">
        <v>5</v>
      </c>
      <c r="F33" s="1">
        <f t="shared" si="2"/>
        <v>25</v>
      </c>
    </row>
    <row r="34" spans="1:6" x14ac:dyDescent="0.3">
      <c r="A34" s="4">
        <v>5.8</v>
      </c>
      <c r="B34" s="1">
        <f t="shared" si="0"/>
        <v>33.64</v>
      </c>
      <c r="C34" s="4">
        <v>59</v>
      </c>
      <c r="D34" s="1">
        <f t="shared" si="1"/>
        <v>3481</v>
      </c>
      <c r="E34" s="1">
        <v>9</v>
      </c>
      <c r="F34" s="1">
        <f t="shared" si="2"/>
        <v>81</v>
      </c>
    </row>
    <row r="35" spans="1:6" x14ac:dyDescent="0.3">
      <c r="A35" s="4">
        <v>5.7</v>
      </c>
      <c r="B35" s="1">
        <f t="shared" si="0"/>
        <v>32.49</v>
      </c>
      <c r="C35" s="4">
        <v>58</v>
      </c>
      <c r="D35" s="1">
        <f t="shared" si="1"/>
        <v>3364</v>
      </c>
      <c r="E35" s="1">
        <v>10</v>
      </c>
      <c r="F35" s="1">
        <f t="shared" si="2"/>
        <v>100</v>
      </c>
    </row>
    <row r="36" spans="1:6" x14ac:dyDescent="0.3">
      <c r="A36" s="4">
        <v>5.7</v>
      </c>
      <c r="B36" s="1">
        <f t="shared" si="0"/>
        <v>32.49</v>
      </c>
      <c r="C36" s="4">
        <v>62</v>
      </c>
      <c r="D36" s="1">
        <f t="shared" si="1"/>
        <v>3844</v>
      </c>
      <c r="E36" s="1">
        <v>5</v>
      </c>
      <c r="F36" s="1">
        <f t="shared" si="2"/>
        <v>25</v>
      </c>
    </row>
    <row r="37" spans="1:6" x14ac:dyDescent="0.3">
      <c r="A37" s="4">
        <v>5.7</v>
      </c>
      <c r="B37" s="1">
        <f t="shared" si="0"/>
        <v>32.49</v>
      </c>
      <c r="C37" s="4">
        <v>59</v>
      </c>
      <c r="D37" s="1">
        <f t="shared" si="1"/>
        <v>3481</v>
      </c>
      <c r="E37" s="1">
        <v>6</v>
      </c>
      <c r="F37" s="1">
        <f t="shared" si="2"/>
        <v>36</v>
      </c>
    </row>
    <row r="38" spans="1:6" x14ac:dyDescent="0.3">
      <c r="A38" s="4">
        <v>6.4</v>
      </c>
      <c r="B38" s="1">
        <f t="shared" si="0"/>
        <v>40.960000000000008</v>
      </c>
      <c r="C38" s="4">
        <v>65</v>
      </c>
      <c r="D38" s="1">
        <f t="shared" si="1"/>
        <v>4225</v>
      </c>
      <c r="E38" s="1">
        <v>7</v>
      </c>
      <c r="F38" s="1">
        <f t="shared" si="2"/>
        <v>49</v>
      </c>
    </row>
    <row r="39" spans="1:6" x14ac:dyDescent="0.3">
      <c r="A39" s="4">
        <v>6.2</v>
      </c>
      <c r="B39" s="1">
        <f t="shared" si="0"/>
        <v>38.440000000000005</v>
      </c>
      <c r="C39" s="4">
        <v>60</v>
      </c>
      <c r="D39" s="1">
        <f t="shared" si="1"/>
        <v>3600</v>
      </c>
      <c r="E39" s="1">
        <v>8</v>
      </c>
      <c r="F39" s="1">
        <f t="shared" si="2"/>
        <v>64</v>
      </c>
    </row>
    <row r="40" spans="1:6" x14ac:dyDescent="0.3">
      <c r="A40" s="4">
        <v>5.9</v>
      </c>
      <c r="B40" s="1">
        <f t="shared" si="0"/>
        <v>34.81</v>
      </c>
      <c r="C40" s="4">
        <v>58</v>
      </c>
      <c r="D40" s="1">
        <f t="shared" si="1"/>
        <v>3364</v>
      </c>
      <c r="E40" s="1">
        <v>9</v>
      </c>
      <c r="F40" s="1">
        <f t="shared" si="2"/>
        <v>81</v>
      </c>
    </row>
    <row r="41" spans="1:6" x14ac:dyDescent="0.3">
      <c r="A41" s="4">
        <v>5.7</v>
      </c>
      <c r="B41" s="1">
        <f t="shared" si="0"/>
        <v>32.49</v>
      </c>
      <c r="C41" s="4">
        <v>58</v>
      </c>
      <c r="D41" s="1">
        <f t="shared" si="1"/>
        <v>3364</v>
      </c>
      <c r="E41" s="1">
        <v>6</v>
      </c>
      <c r="F41" s="1">
        <f t="shared" si="2"/>
        <v>36</v>
      </c>
    </row>
    <row r="42" spans="1:6" x14ac:dyDescent="0.3">
      <c r="A42" s="4">
        <v>5.8</v>
      </c>
      <c r="B42" s="1">
        <f t="shared" si="0"/>
        <v>33.64</v>
      </c>
      <c r="C42" s="4">
        <v>59</v>
      </c>
      <c r="D42" s="1">
        <f t="shared" si="1"/>
        <v>3481</v>
      </c>
      <c r="E42" s="1">
        <v>5</v>
      </c>
      <c r="F42" s="1">
        <f t="shared" si="2"/>
        <v>25</v>
      </c>
    </row>
    <row r="43" spans="1:6" x14ac:dyDescent="0.3">
      <c r="A43" s="4">
        <v>5.7</v>
      </c>
      <c r="B43" s="1">
        <f t="shared" si="0"/>
        <v>32.49</v>
      </c>
      <c r="C43" s="4">
        <v>60</v>
      </c>
      <c r="D43" s="1">
        <f t="shared" si="1"/>
        <v>3600</v>
      </c>
      <c r="E43" s="1">
        <v>4</v>
      </c>
      <c r="F43" s="1">
        <f t="shared" si="2"/>
        <v>16</v>
      </c>
    </row>
    <row r="44" spans="1:6" x14ac:dyDescent="0.3">
      <c r="A44" s="4">
        <v>6.3</v>
      </c>
      <c r="B44" s="1">
        <f t="shared" si="0"/>
        <v>39.69</v>
      </c>
      <c r="C44" s="4">
        <v>79</v>
      </c>
      <c r="D44" s="1">
        <f t="shared" si="1"/>
        <v>6241</v>
      </c>
      <c r="E44" s="1">
        <v>6</v>
      </c>
      <c r="F44" s="1">
        <f t="shared" si="2"/>
        <v>36</v>
      </c>
    </row>
    <row r="45" spans="1:6" x14ac:dyDescent="0.3">
      <c r="A45" s="4">
        <v>5.8</v>
      </c>
      <c r="B45" s="1">
        <f t="shared" si="0"/>
        <v>33.64</v>
      </c>
      <c r="C45" s="4">
        <v>78</v>
      </c>
      <c r="D45" s="1">
        <f t="shared" si="1"/>
        <v>6084</v>
      </c>
      <c r="E45" s="1">
        <v>7</v>
      </c>
      <c r="F45" s="1">
        <f t="shared" si="2"/>
        <v>49</v>
      </c>
    </row>
    <row r="46" spans="1:6" x14ac:dyDescent="0.3">
      <c r="A46" s="4">
        <v>5.0999999999999996</v>
      </c>
      <c r="B46" s="1">
        <f t="shared" si="0"/>
        <v>26.009999999999998</v>
      </c>
      <c r="C46" s="4">
        <v>58</v>
      </c>
      <c r="D46" s="1">
        <f t="shared" si="1"/>
        <v>3364</v>
      </c>
      <c r="E46" s="1">
        <v>8</v>
      </c>
      <c r="F46" s="1">
        <f t="shared" si="2"/>
        <v>64</v>
      </c>
    </row>
    <row r="47" spans="1:6" x14ac:dyDescent="0.3">
      <c r="A47" s="4">
        <v>6.8</v>
      </c>
      <c r="B47" s="1">
        <f t="shared" si="0"/>
        <v>46.239999999999995</v>
      </c>
      <c r="C47" s="4">
        <v>57</v>
      </c>
      <c r="D47" s="1">
        <f t="shared" si="1"/>
        <v>3249</v>
      </c>
      <c r="E47" s="1">
        <v>5</v>
      </c>
      <c r="F47" s="1">
        <f t="shared" si="2"/>
        <v>25</v>
      </c>
    </row>
    <row r="48" spans="1:6" x14ac:dyDescent="0.3">
      <c r="A48" s="4">
        <v>6.7</v>
      </c>
      <c r="B48" s="1">
        <f t="shared" si="0"/>
        <v>44.89</v>
      </c>
      <c r="C48" s="4">
        <v>59</v>
      </c>
      <c r="D48" s="1">
        <f t="shared" si="1"/>
        <v>3481</v>
      </c>
      <c r="E48" s="1">
        <v>6</v>
      </c>
      <c r="F48" s="1">
        <f t="shared" si="2"/>
        <v>36</v>
      </c>
    </row>
    <row r="49" spans="1:6" x14ac:dyDescent="0.3">
      <c r="A49" s="4">
        <v>5.9</v>
      </c>
      <c r="B49" s="1">
        <f t="shared" si="0"/>
        <v>34.81</v>
      </c>
      <c r="C49" s="4">
        <v>60</v>
      </c>
      <c r="D49" s="1">
        <f t="shared" si="1"/>
        <v>3600</v>
      </c>
      <c r="E49" s="1">
        <v>7</v>
      </c>
      <c r="F49" s="1">
        <f t="shared" si="2"/>
        <v>49</v>
      </c>
    </row>
    <row r="50" spans="1:6" x14ac:dyDescent="0.3">
      <c r="A50" s="4">
        <v>5.0999999999999996</v>
      </c>
      <c r="B50" s="1">
        <f t="shared" si="0"/>
        <v>26.009999999999998</v>
      </c>
      <c r="C50" s="4">
        <v>72</v>
      </c>
      <c r="D50" s="1">
        <f t="shared" si="1"/>
        <v>5184</v>
      </c>
      <c r="E50" s="1">
        <v>8</v>
      </c>
      <c r="F50" s="1">
        <f t="shared" si="2"/>
        <v>64</v>
      </c>
    </row>
    <row r="51" spans="1:6" x14ac:dyDescent="0.3">
      <c r="A51" s="4">
        <v>5.6</v>
      </c>
      <c r="B51" s="1">
        <f t="shared" si="0"/>
        <v>31.359999999999996</v>
      </c>
      <c r="C51" s="4">
        <v>69</v>
      </c>
      <c r="D51" s="1">
        <f t="shared" si="1"/>
        <v>4761</v>
      </c>
      <c r="E51" s="1">
        <v>9</v>
      </c>
      <c r="F51" s="1">
        <f t="shared" si="2"/>
        <v>81</v>
      </c>
    </row>
    <row r="52" spans="1:6" x14ac:dyDescent="0.3">
      <c r="A52" t="s">
        <v>32</v>
      </c>
      <c r="B52" s="1">
        <f>SUM(B2:B51)</f>
        <v>1807.2700000000007</v>
      </c>
      <c r="C52" t="s">
        <v>33</v>
      </c>
      <c r="D52" s="1">
        <f>SUM(D2:D51)</f>
        <v>179249</v>
      </c>
      <c r="E52" t="s">
        <v>34</v>
      </c>
      <c r="F52" s="1">
        <f>SUM(F2:F51)</f>
        <v>2173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CE1E-427C-4512-8D7F-0025FFD3A1DE}">
  <dimension ref="A1:E52"/>
  <sheetViews>
    <sheetView workbookViewId="0">
      <selection activeCell="A53" sqref="A53"/>
    </sheetView>
  </sheetViews>
  <sheetFormatPr defaultRowHeight="14.4" x14ac:dyDescent="0.3"/>
  <cols>
    <col min="1" max="1" width="17.88671875" customWidth="1"/>
    <col min="2" max="2" width="15" customWidth="1"/>
    <col min="3" max="3" width="14.109375" customWidth="1"/>
    <col min="4" max="4" width="10.44140625" customWidth="1"/>
    <col min="5" max="5" width="15" customWidth="1"/>
  </cols>
  <sheetData>
    <row r="1" spans="1:5" ht="16.8" thickBot="1" x14ac:dyDescent="0.35">
      <c r="A1" s="2" t="s">
        <v>48</v>
      </c>
      <c r="B1" s="2" t="s">
        <v>55</v>
      </c>
      <c r="C1" s="10" t="s">
        <v>40</v>
      </c>
      <c r="D1" s="10" t="s">
        <v>50</v>
      </c>
      <c r="E1" s="10" t="s">
        <v>56</v>
      </c>
    </row>
    <row r="2" spans="1:5" ht="15" thickBot="1" x14ac:dyDescent="0.35">
      <c r="A2" s="3">
        <v>52</v>
      </c>
      <c r="B2" s="3">
        <v>6.4</v>
      </c>
      <c r="C2" s="1">
        <f>SUM(A2*B2)</f>
        <v>332.8</v>
      </c>
      <c r="D2" s="1">
        <f>SUM(A2*A2)</f>
        <v>2704</v>
      </c>
      <c r="E2" s="1">
        <f>SUM(B2*B2)</f>
        <v>40.960000000000008</v>
      </c>
    </row>
    <row r="3" spans="1:5" ht="15" thickBot="1" x14ac:dyDescent="0.35">
      <c r="A3" s="3">
        <v>47</v>
      </c>
      <c r="B3" s="3">
        <v>6.4</v>
      </c>
      <c r="C3" s="1">
        <f t="shared" ref="C3:C51" si="0">SUM(A3*B3)</f>
        <v>300.8</v>
      </c>
      <c r="D3" s="1">
        <f t="shared" ref="D3:D51" si="1">SUM(A3*A3)</f>
        <v>2209</v>
      </c>
      <c r="E3" s="1">
        <f t="shared" ref="E3:E51" si="2">SUM(B3*B3)</f>
        <v>40.960000000000008</v>
      </c>
    </row>
    <row r="4" spans="1:5" ht="15" thickBot="1" x14ac:dyDescent="0.35">
      <c r="A4" s="3">
        <v>55</v>
      </c>
      <c r="B4" s="3">
        <v>6.3</v>
      </c>
      <c r="C4" s="1">
        <f t="shared" si="0"/>
        <v>346.5</v>
      </c>
      <c r="D4" s="1">
        <f t="shared" si="1"/>
        <v>3025</v>
      </c>
      <c r="E4" s="1">
        <f t="shared" si="2"/>
        <v>39.69</v>
      </c>
    </row>
    <row r="5" spans="1:5" ht="15" thickBot="1" x14ac:dyDescent="0.35">
      <c r="A5" s="3">
        <v>58</v>
      </c>
      <c r="B5" s="3">
        <v>4.8</v>
      </c>
      <c r="C5" s="1">
        <f t="shared" si="0"/>
        <v>278.39999999999998</v>
      </c>
      <c r="D5" s="1">
        <f t="shared" si="1"/>
        <v>3364</v>
      </c>
      <c r="E5" s="1">
        <f t="shared" si="2"/>
        <v>23.04</v>
      </c>
    </row>
    <row r="6" spans="1:5" ht="15" thickBot="1" x14ac:dyDescent="0.35">
      <c r="A6" s="3">
        <v>52</v>
      </c>
      <c r="B6" s="3">
        <v>5.2</v>
      </c>
      <c r="C6" s="1">
        <f t="shared" si="0"/>
        <v>270.40000000000003</v>
      </c>
      <c r="D6" s="1">
        <f t="shared" si="1"/>
        <v>2704</v>
      </c>
      <c r="E6" s="1">
        <f t="shared" si="2"/>
        <v>27.040000000000003</v>
      </c>
    </row>
    <row r="7" spans="1:5" ht="15" thickBot="1" x14ac:dyDescent="0.35">
      <c r="A7" s="3">
        <v>50</v>
      </c>
      <c r="B7" s="3">
        <v>5.6</v>
      </c>
      <c r="C7" s="1">
        <f t="shared" si="0"/>
        <v>280</v>
      </c>
      <c r="D7" s="1">
        <f t="shared" si="1"/>
        <v>2500</v>
      </c>
      <c r="E7" s="1">
        <f t="shared" si="2"/>
        <v>31.359999999999996</v>
      </c>
    </row>
    <row r="8" spans="1:5" ht="15" thickBot="1" x14ac:dyDescent="0.35">
      <c r="A8" s="3">
        <v>47</v>
      </c>
      <c r="B8" s="3">
        <v>5.2</v>
      </c>
      <c r="C8" s="1">
        <f t="shared" si="0"/>
        <v>244.4</v>
      </c>
      <c r="D8" s="1">
        <f t="shared" si="1"/>
        <v>2209</v>
      </c>
      <c r="E8" s="1">
        <f t="shared" si="2"/>
        <v>27.040000000000003</v>
      </c>
    </row>
    <row r="9" spans="1:5" ht="15" thickBot="1" x14ac:dyDescent="0.35">
      <c r="A9" s="3">
        <v>51</v>
      </c>
      <c r="B9" s="3">
        <v>5.4</v>
      </c>
      <c r="C9" s="1">
        <f t="shared" si="0"/>
        <v>275.40000000000003</v>
      </c>
      <c r="D9" s="1">
        <f t="shared" si="1"/>
        <v>2601</v>
      </c>
      <c r="E9" s="1">
        <f t="shared" si="2"/>
        <v>29.160000000000004</v>
      </c>
    </row>
    <row r="10" spans="1:5" ht="15" thickBot="1" x14ac:dyDescent="0.35">
      <c r="A10" s="3">
        <v>85</v>
      </c>
      <c r="B10" s="3">
        <v>5.7</v>
      </c>
      <c r="C10" s="1">
        <f t="shared" si="0"/>
        <v>484.5</v>
      </c>
      <c r="D10" s="1">
        <f t="shared" si="1"/>
        <v>7225</v>
      </c>
      <c r="E10" s="1">
        <f t="shared" si="2"/>
        <v>32.49</v>
      </c>
    </row>
    <row r="11" spans="1:5" ht="15" thickBot="1" x14ac:dyDescent="0.35">
      <c r="A11" s="3">
        <v>59</v>
      </c>
      <c r="B11" s="3">
        <v>5.5</v>
      </c>
      <c r="C11" s="1">
        <f t="shared" si="0"/>
        <v>324.5</v>
      </c>
      <c r="D11" s="1">
        <f t="shared" si="1"/>
        <v>3481</v>
      </c>
      <c r="E11" s="1">
        <f t="shared" si="2"/>
        <v>30.25</v>
      </c>
    </row>
    <row r="12" spans="1:5" ht="15" thickBot="1" x14ac:dyDescent="0.35">
      <c r="A12" s="3">
        <v>62</v>
      </c>
      <c r="B12" s="3">
        <v>6.4</v>
      </c>
      <c r="C12" s="1">
        <f t="shared" si="0"/>
        <v>396.8</v>
      </c>
      <c r="D12" s="1">
        <f t="shared" si="1"/>
        <v>3844</v>
      </c>
      <c r="E12" s="1">
        <f t="shared" si="2"/>
        <v>40.960000000000008</v>
      </c>
    </row>
    <row r="13" spans="1:5" ht="15" thickBot="1" x14ac:dyDescent="0.35">
      <c r="A13" s="3">
        <v>32</v>
      </c>
      <c r="B13" s="3">
        <v>5.0999999999999996</v>
      </c>
      <c r="C13" s="1">
        <f t="shared" si="0"/>
        <v>163.19999999999999</v>
      </c>
      <c r="D13" s="1">
        <f t="shared" si="1"/>
        <v>1024</v>
      </c>
      <c r="E13" s="1">
        <f t="shared" si="2"/>
        <v>26.009999999999998</v>
      </c>
    </row>
    <row r="14" spans="1:5" ht="15" thickBot="1" x14ac:dyDescent="0.35">
      <c r="A14" s="3">
        <v>55</v>
      </c>
      <c r="B14" s="3">
        <v>6.6</v>
      </c>
      <c r="C14" s="1">
        <f t="shared" si="0"/>
        <v>363</v>
      </c>
      <c r="D14" s="1">
        <f t="shared" si="1"/>
        <v>3025</v>
      </c>
      <c r="E14" s="1">
        <f t="shared" si="2"/>
        <v>43.559999999999995</v>
      </c>
    </row>
    <row r="15" spans="1:5" ht="15" thickBot="1" x14ac:dyDescent="0.35">
      <c r="A15" s="3">
        <v>65</v>
      </c>
      <c r="B15" s="3">
        <v>6.5</v>
      </c>
      <c r="C15" s="1">
        <f t="shared" si="0"/>
        <v>422.5</v>
      </c>
      <c r="D15" s="1">
        <f t="shared" si="1"/>
        <v>4225</v>
      </c>
      <c r="E15" s="1">
        <f t="shared" si="2"/>
        <v>42.25</v>
      </c>
    </row>
    <row r="16" spans="1:5" ht="15" thickBot="1" x14ac:dyDescent="0.35">
      <c r="A16" s="3">
        <v>63</v>
      </c>
      <c r="B16" s="3">
        <v>6.6</v>
      </c>
      <c r="C16" s="1">
        <f t="shared" si="0"/>
        <v>415.79999999999995</v>
      </c>
      <c r="D16" s="1">
        <f t="shared" si="1"/>
        <v>3969</v>
      </c>
      <c r="E16" s="1">
        <f t="shared" si="2"/>
        <v>43.559999999999995</v>
      </c>
    </row>
    <row r="17" spans="1:5" ht="15" thickBot="1" x14ac:dyDescent="0.35">
      <c r="A17" s="3">
        <v>60</v>
      </c>
      <c r="B17" s="3">
        <v>6.7</v>
      </c>
      <c r="C17" s="1">
        <f t="shared" si="0"/>
        <v>402</v>
      </c>
      <c r="D17" s="1">
        <f t="shared" si="1"/>
        <v>3600</v>
      </c>
      <c r="E17" s="1">
        <f t="shared" si="2"/>
        <v>44.89</v>
      </c>
    </row>
    <row r="18" spans="1:5" ht="15" thickBot="1" x14ac:dyDescent="0.35">
      <c r="A18" s="3">
        <v>50</v>
      </c>
      <c r="B18" s="3">
        <v>6.5</v>
      </c>
      <c r="C18" s="1">
        <f t="shared" si="0"/>
        <v>325</v>
      </c>
      <c r="D18" s="1">
        <f t="shared" si="1"/>
        <v>2500</v>
      </c>
      <c r="E18" s="1">
        <f t="shared" si="2"/>
        <v>42.25</v>
      </c>
    </row>
    <row r="19" spans="1:5" ht="15" thickBot="1" x14ac:dyDescent="0.35">
      <c r="A19" s="3">
        <v>48</v>
      </c>
      <c r="B19" s="3">
        <v>6.2</v>
      </c>
      <c r="C19" s="1">
        <f t="shared" si="0"/>
        <v>297.60000000000002</v>
      </c>
      <c r="D19" s="1">
        <f t="shared" si="1"/>
        <v>2304</v>
      </c>
      <c r="E19" s="1">
        <f t="shared" si="2"/>
        <v>38.440000000000005</v>
      </c>
    </row>
    <row r="20" spans="1:5" ht="15" thickBot="1" x14ac:dyDescent="0.35">
      <c r="A20" s="3">
        <v>85</v>
      </c>
      <c r="B20" s="3">
        <v>6.9</v>
      </c>
      <c r="C20" s="1">
        <f t="shared" si="0"/>
        <v>586.5</v>
      </c>
      <c r="D20" s="1">
        <f t="shared" si="1"/>
        <v>7225</v>
      </c>
      <c r="E20" s="1">
        <f t="shared" si="2"/>
        <v>47.610000000000007</v>
      </c>
    </row>
    <row r="21" spans="1:5" ht="15" thickBot="1" x14ac:dyDescent="0.35">
      <c r="A21" s="3">
        <v>48</v>
      </c>
      <c r="B21" s="3">
        <v>5.5</v>
      </c>
      <c r="C21" s="1">
        <f t="shared" si="0"/>
        <v>264</v>
      </c>
      <c r="D21" s="1">
        <f t="shared" si="1"/>
        <v>2304</v>
      </c>
      <c r="E21" s="1">
        <f t="shared" si="2"/>
        <v>30.25</v>
      </c>
    </row>
    <row r="22" spans="1:5" ht="15" thickBot="1" x14ac:dyDescent="0.35">
      <c r="A22" s="3">
        <v>58</v>
      </c>
      <c r="B22" s="3">
        <v>5.5</v>
      </c>
      <c r="C22" s="1">
        <f t="shared" si="0"/>
        <v>319</v>
      </c>
      <c r="D22" s="1">
        <f t="shared" si="1"/>
        <v>3364</v>
      </c>
      <c r="E22" s="1">
        <f t="shared" si="2"/>
        <v>30.25</v>
      </c>
    </row>
    <row r="23" spans="1:5" ht="15" thickBot="1" x14ac:dyDescent="0.35">
      <c r="A23" s="3">
        <v>65</v>
      </c>
      <c r="B23" s="3">
        <v>5.7</v>
      </c>
      <c r="C23" s="1">
        <f t="shared" si="0"/>
        <v>370.5</v>
      </c>
      <c r="D23" s="1">
        <f t="shared" si="1"/>
        <v>4225</v>
      </c>
      <c r="E23" s="1">
        <f t="shared" si="2"/>
        <v>32.49</v>
      </c>
    </row>
    <row r="24" spans="1:5" ht="15" thickBot="1" x14ac:dyDescent="0.35">
      <c r="A24" s="3">
        <v>56</v>
      </c>
      <c r="B24" s="3">
        <v>6.4</v>
      </c>
      <c r="C24" s="1">
        <f t="shared" si="0"/>
        <v>358.40000000000003</v>
      </c>
      <c r="D24" s="1">
        <f t="shared" si="1"/>
        <v>3136</v>
      </c>
      <c r="E24" s="1">
        <f t="shared" si="2"/>
        <v>40.960000000000008</v>
      </c>
    </row>
    <row r="25" spans="1:5" ht="15" thickBot="1" x14ac:dyDescent="0.35">
      <c r="A25" s="3">
        <v>50</v>
      </c>
      <c r="B25" s="3">
        <v>6.8</v>
      </c>
      <c r="C25" s="1">
        <f t="shared" si="0"/>
        <v>340</v>
      </c>
      <c r="D25" s="1">
        <f t="shared" si="1"/>
        <v>2500</v>
      </c>
      <c r="E25" s="1">
        <f t="shared" si="2"/>
        <v>46.239999999999995</v>
      </c>
    </row>
    <row r="26" spans="1:5" ht="15" thickBot="1" x14ac:dyDescent="0.35">
      <c r="A26" s="3">
        <v>42</v>
      </c>
      <c r="B26" s="3">
        <v>6.1</v>
      </c>
      <c r="C26" s="1">
        <f t="shared" si="0"/>
        <v>256.2</v>
      </c>
      <c r="D26" s="1">
        <f t="shared" si="1"/>
        <v>1764</v>
      </c>
      <c r="E26" s="1">
        <f t="shared" si="2"/>
        <v>37.209999999999994</v>
      </c>
    </row>
    <row r="27" spans="1:5" x14ac:dyDescent="0.3">
      <c r="A27" s="4">
        <v>61</v>
      </c>
      <c r="B27" s="1">
        <v>6.3</v>
      </c>
      <c r="C27" s="1">
        <f t="shared" si="0"/>
        <v>384.3</v>
      </c>
      <c r="D27" s="1">
        <f t="shared" si="1"/>
        <v>3721</v>
      </c>
      <c r="E27" s="1">
        <f t="shared" si="2"/>
        <v>39.69</v>
      </c>
    </row>
    <row r="28" spans="1:5" x14ac:dyDescent="0.3">
      <c r="A28" s="4">
        <v>65</v>
      </c>
      <c r="B28" s="1">
        <v>6.5</v>
      </c>
      <c r="C28" s="1">
        <f t="shared" si="0"/>
        <v>422.5</v>
      </c>
      <c r="D28" s="1">
        <f t="shared" si="1"/>
        <v>4225</v>
      </c>
      <c r="E28" s="1">
        <f t="shared" si="2"/>
        <v>42.25</v>
      </c>
    </row>
    <row r="29" spans="1:5" x14ac:dyDescent="0.3">
      <c r="A29" s="4">
        <v>64</v>
      </c>
      <c r="B29" s="4">
        <v>6.2</v>
      </c>
      <c r="C29" s="1">
        <f t="shared" si="0"/>
        <v>396.8</v>
      </c>
      <c r="D29" s="1">
        <f t="shared" si="1"/>
        <v>4096</v>
      </c>
      <c r="E29" s="1">
        <f t="shared" si="2"/>
        <v>38.440000000000005</v>
      </c>
    </row>
    <row r="30" spans="1:5" x14ac:dyDescent="0.3">
      <c r="A30" s="4">
        <v>58</v>
      </c>
      <c r="B30" s="4">
        <v>6.2</v>
      </c>
      <c r="C30" s="1">
        <f t="shared" si="0"/>
        <v>359.6</v>
      </c>
      <c r="D30" s="1">
        <f t="shared" si="1"/>
        <v>3364</v>
      </c>
      <c r="E30" s="1">
        <f t="shared" si="2"/>
        <v>38.440000000000005</v>
      </c>
    </row>
    <row r="31" spans="1:5" x14ac:dyDescent="0.3">
      <c r="A31" s="4">
        <v>60</v>
      </c>
      <c r="B31" s="4">
        <v>5.9</v>
      </c>
      <c r="C31" s="1">
        <f t="shared" si="0"/>
        <v>354</v>
      </c>
      <c r="D31" s="1">
        <f t="shared" si="1"/>
        <v>3600</v>
      </c>
      <c r="E31" s="1">
        <f t="shared" si="2"/>
        <v>34.81</v>
      </c>
    </row>
    <row r="32" spans="1:5" x14ac:dyDescent="0.3">
      <c r="A32" s="4">
        <v>62</v>
      </c>
      <c r="B32" s="4">
        <v>6.2</v>
      </c>
      <c r="C32" s="1">
        <f t="shared" si="0"/>
        <v>384.40000000000003</v>
      </c>
      <c r="D32" s="1">
        <f t="shared" si="1"/>
        <v>3844</v>
      </c>
      <c r="E32" s="1">
        <f t="shared" si="2"/>
        <v>38.440000000000005</v>
      </c>
    </row>
    <row r="33" spans="1:5" x14ac:dyDescent="0.3">
      <c r="A33" s="4">
        <v>60</v>
      </c>
      <c r="B33" s="4">
        <v>6.3</v>
      </c>
      <c r="C33" s="1">
        <f t="shared" si="0"/>
        <v>378</v>
      </c>
      <c r="D33" s="1">
        <f t="shared" si="1"/>
        <v>3600</v>
      </c>
      <c r="E33" s="1">
        <f t="shared" si="2"/>
        <v>39.69</v>
      </c>
    </row>
    <row r="34" spans="1:5" x14ac:dyDescent="0.3">
      <c r="A34" s="4">
        <v>59</v>
      </c>
      <c r="B34" s="4">
        <v>5.8</v>
      </c>
      <c r="C34" s="1">
        <f t="shared" si="0"/>
        <v>342.2</v>
      </c>
      <c r="D34" s="1">
        <f t="shared" si="1"/>
        <v>3481</v>
      </c>
      <c r="E34" s="1">
        <f t="shared" si="2"/>
        <v>33.64</v>
      </c>
    </row>
    <row r="35" spans="1:5" x14ac:dyDescent="0.3">
      <c r="A35" s="4">
        <v>58</v>
      </c>
      <c r="B35" s="4">
        <v>5.7</v>
      </c>
      <c r="C35" s="1">
        <f t="shared" si="0"/>
        <v>330.6</v>
      </c>
      <c r="D35" s="1">
        <f t="shared" si="1"/>
        <v>3364</v>
      </c>
      <c r="E35" s="1">
        <f t="shared" si="2"/>
        <v>32.49</v>
      </c>
    </row>
    <row r="36" spans="1:5" x14ac:dyDescent="0.3">
      <c r="A36" s="4">
        <v>62</v>
      </c>
      <c r="B36" s="4">
        <v>5.7</v>
      </c>
      <c r="C36" s="1">
        <f t="shared" si="0"/>
        <v>353.40000000000003</v>
      </c>
      <c r="D36" s="1">
        <f t="shared" si="1"/>
        <v>3844</v>
      </c>
      <c r="E36" s="1">
        <f t="shared" si="2"/>
        <v>32.49</v>
      </c>
    </row>
    <row r="37" spans="1:5" x14ac:dyDescent="0.3">
      <c r="A37" s="4">
        <v>59</v>
      </c>
      <c r="B37" s="4">
        <v>5.7</v>
      </c>
      <c r="C37" s="1">
        <f t="shared" si="0"/>
        <v>336.3</v>
      </c>
      <c r="D37" s="1">
        <f t="shared" si="1"/>
        <v>3481</v>
      </c>
      <c r="E37" s="1">
        <f t="shared" si="2"/>
        <v>32.49</v>
      </c>
    </row>
    <row r="38" spans="1:5" x14ac:dyDescent="0.3">
      <c r="A38" s="4">
        <v>65</v>
      </c>
      <c r="B38" s="4">
        <v>6.4</v>
      </c>
      <c r="C38" s="1">
        <f t="shared" si="0"/>
        <v>416</v>
      </c>
      <c r="D38" s="1">
        <f t="shared" si="1"/>
        <v>4225</v>
      </c>
      <c r="E38" s="1">
        <f t="shared" si="2"/>
        <v>40.960000000000008</v>
      </c>
    </row>
    <row r="39" spans="1:5" x14ac:dyDescent="0.3">
      <c r="A39" s="4">
        <v>60</v>
      </c>
      <c r="B39" s="4">
        <v>6.2</v>
      </c>
      <c r="C39" s="1">
        <f t="shared" si="0"/>
        <v>372</v>
      </c>
      <c r="D39" s="1">
        <f t="shared" si="1"/>
        <v>3600</v>
      </c>
      <c r="E39" s="1">
        <f t="shared" si="2"/>
        <v>38.440000000000005</v>
      </c>
    </row>
    <row r="40" spans="1:5" x14ac:dyDescent="0.3">
      <c r="A40" s="4">
        <v>58</v>
      </c>
      <c r="B40" s="4">
        <v>5.9</v>
      </c>
      <c r="C40" s="1">
        <f t="shared" si="0"/>
        <v>342.20000000000005</v>
      </c>
      <c r="D40" s="1">
        <f t="shared" si="1"/>
        <v>3364</v>
      </c>
      <c r="E40" s="1">
        <f t="shared" si="2"/>
        <v>34.81</v>
      </c>
    </row>
    <row r="41" spans="1:5" x14ac:dyDescent="0.3">
      <c r="A41" s="4">
        <v>58</v>
      </c>
      <c r="B41" s="4">
        <v>5.7</v>
      </c>
      <c r="C41" s="1">
        <f t="shared" si="0"/>
        <v>330.6</v>
      </c>
      <c r="D41" s="1">
        <f t="shared" si="1"/>
        <v>3364</v>
      </c>
      <c r="E41" s="1">
        <f t="shared" si="2"/>
        <v>32.49</v>
      </c>
    </row>
    <row r="42" spans="1:5" x14ac:dyDescent="0.3">
      <c r="A42" s="4">
        <v>59</v>
      </c>
      <c r="B42" s="4">
        <v>5.8</v>
      </c>
      <c r="C42" s="1">
        <f t="shared" si="0"/>
        <v>342.2</v>
      </c>
      <c r="D42" s="1">
        <f t="shared" si="1"/>
        <v>3481</v>
      </c>
      <c r="E42" s="1">
        <f t="shared" si="2"/>
        <v>33.64</v>
      </c>
    </row>
    <row r="43" spans="1:5" x14ac:dyDescent="0.3">
      <c r="A43" s="4">
        <v>60</v>
      </c>
      <c r="B43" s="4">
        <v>5.7</v>
      </c>
      <c r="C43" s="1">
        <f t="shared" si="0"/>
        <v>342</v>
      </c>
      <c r="D43" s="1">
        <f t="shared" si="1"/>
        <v>3600</v>
      </c>
      <c r="E43" s="1">
        <f t="shared" si="2"/>
        <v>32.49</v>
      </c>
    </row>
    <row r="44" spans="1:5" x14ac:dyDescent="0.3">
      <c r="A44" s="4">
        <v>79</v>
      </c>
      <c r="B44" s="4">
        <v>6.3</v>
      </c>
      <c r="C44" s="1">
        <f t="shared" si="0"/>
        <v>497.7</v>
      </c>
      <c r="D44" s="1">
        <f t="shared" si="1"/>
        <v>6241</v>
      </c>
      <c r="E44" s="1">
        <f t="shared" si="2"/>
        <v>39.69</v>
      </c>
    </row>
    <row r="45" spans="1:5" x14ac:dyDescent="0.3">
      <c r="A45" s="4">
        <v>78</v>
      </c>
      <c r="B45" s="4">
        <v>5.8</v>
      </c>
      <c r="C45" s="1">
        <f t="shared" si="0"/>
        <v>452.4</v>
      </c>
      <c r="D45" s="1">
        <f t="shared" si="1"/>
        <v>6084</v>
      </c>
      <c r="E45" s="1">
        <f t="shared" si="2"/>
        <v>33.64</v>
      </c>
    </row>
    <row r="46" spans="1:5" x14ac:dyDescent="0.3">
      <c r="A46" s="4">
        <v>58</v>
      </c>
      <c r="B46" s="4">
        <v>5.0999999999999996</v>
      </c>
      <c r="C46" s="1">
        <f t="shared" si="0"/>
        <v>295.79999999999995</v>
      </c>
      <c r="D46" s="1">
        <f t="shared" si="1"/>
        <v>3364</v>
      </c>
      <c r="E46" s="1">
        <f t="shared" si="2"/>
        <v>26.009999999999998</v>
      </c>
    </row>
    <row r="47" spans="1:5" x14ac:dyDescent="0.3">
      <c r="A47" s="4">
        <v>57</v>
      </c>
      <c r="B47" s="4">
        <v>6.8</v>
      </c>
      <c r="C47" s="1">
        <f t="shared" si="0"/>
        <v>387.59999999999997</v>
      </c>
      <c r="D47" s="1">
        <f t="shared" si="1"/>
        <v>3249</v>
      </c>
      <c r="E47" s="1">
        <f t="shared" si="2"/>
        <v>46.239999999999995</v>
      </c>
    </row>
    <row r="48" spans="1:5" x14ac:dyDescent="0.3">
      <c r="A48" s="4">
        <v>59</v>
      </c>
      <c r="B48" s="4">
        <v>6.7</v>
      </c>
      <c r="C48" s="1">
        <f t="shared" si="0"/>
        <v>395.3</v>
      </c>
      <c r="D48" s="1">
        <f t="shared" si="1"/>
        <v>3481</v>
      </c>
      <c r="E48" s="1">
        <f t="shared" si="2"/>
        <v>44.89</v>
      </c>
    </row>
    <row r="49" spans="1:5" x14ac:dyDescent="0.3">
      <c r="A49" s="4">
        <v>60</v>
      </c>
      <c r="B49" s="4">
        <v>5.9</v>
      </c>
      <c r="C49" s="1">
        <f t="shared" si="0"/>
        <v>354</v>
      </c>
      <c r="D49" s="1">
        <f t="shared" si="1"/>
        <v>3600</v>
      </c>
      <c r="E49" s="1">
        <f t="shared" si="2"/>
        <v>34.81</v>
      </c>
    </row>
    <row r="50" spans="1:5" x14ac:dyDescent="0.3">
      <c r="A50" s="4">
        <v>72</v>
      </c>
      <c r="B50" s="4">
        <v>5.0999999999999996</v>
      </c>
      <c r="C50" s="1">
        <f t="shared" si="0"/>
        <v>367.2</v>
      </c>
      <c r="D50" s="1">
        <f t="shared" si="1"/>
        <v>5184</v>
      </c>
      <c r="E50" s="1">
        <f t="shared" si="2"/>
        <v>26.009999999999998</v>
      </c>
    </row>
    <row r="51" spans="1:5" x14ac:dyDescent="0.3">
      <c r="A51" s="4">
        <v>69</v>
      </c>
      <c r="B51" s="4">
        <v>5.6</v>
      </c>
      <c r="C51" s="1">
        <f t="shared" si="0"/>
        <v>386.4</v>
      </c>
      <c r="D51" s="1">
        <f t="shared" si="1"/>
        <v>4761</v>
      </c>
      <c r="E51" s="1">
        <f t="shared" si="2"/>
        <v>31.359999999999996</v>
      </c>
    </row>
    <row r="52" spans="1:5" x14ac:dyDescent="0.3">
      <c r="A52">
        <f>SUM(A2:A51)</f>
        <v>2955</v>
      </c>
      <c r="B52">
        <f>SUM(B2:B51)</f>
        <v>299.5</v>
      </c>
      <c r="C52" s="15">
        <f>SUM(C2:C51)</f>
        <v>17741.700000000004</v>
      </c>
      <c r="D52" s="15">
        <f>SUM(D2:D51)</f>
        <v>179249</v>
      </c>
      <c r="E52" s="15">
        <f>SUM(E2:E51)</f>
        <v>1807.2700000000007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DB23-1AAC-4D9E-9245-55C162B5FD35}">
  <dimension ref="A1:H52"/>
  <sheetViews>
    <sheetView topLeftCell="A37" zoomScale="99" zoomScaleNormal="99" workbookViewId="0">
      <selection activeCell="G1" sqref="G1"/>
    </sheetView>
  </sheetViews>
  <sheetFormatPr defaultRowHeight="14.4" x14ac:dyDescent="0.3"/>
  <cols>
    <col min="1" max="1" width="18.44140625" customWidth="1"/>
    <col min="2" max="2" width="12.5546875" customWidth="1"/>
    <col min="3" max="3" width="15.6640625" customWidth="1"/>
    <col min="4" max="4" width="16.77734375" customWidth="1"/>
    <col min="5" max="5" width="14.77734375" customWidth="1"/>
    <col min="7" max="7" width="12.109375" customWidth="1"/>
    <col min="8" max="8" width="20" customWidth="1"/>
  </cols>
  <sheetData>
    <row r="1" spans="1:8" ht="18" thickBot="1" x14ac:dyDescent="0.35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8"/>
      <c r="G1" s="2"/>
      <c r="H1" s="2"/>
    </row>
    <row r="2" spans="1:8" ht="15" thickBot="1" x14ac:dyDescent="0.35">
      <c r="A2" s="3">
        <v>6.4</v>
      </c>
      <c r="B2" s="3">
        <v>52</v>
      </c>
      <c r="C2" s="1">
        <f>A2*B2</f>
        <v>332.8</v>
      </c>
      <c r="D2" s="1">
        <f>A2*A2</f>
        <v>40.960000000000008</v>
      </c>
      <c r="E2" s="1">
        <f>B2*B2</f>
        <v>2704</v>
      </c>
      <c r="G2" s="3"/>
    </row>
    <row r="3" spans="1:8" ht="15" thickBot="1" x14ac:dyDescent="0.35">
      <c r="A3" s="3">
        <v>6.4</v>
      </c>
      <c r="B3" s="3">
        <v>47</v>
      </c>
      <c r="C3" s="1">
        <f t="shared" ref="C3:C51" si="0">A3*B3</f>
        <v>300.8</v>
      </c>
      <c r="D3" s="1">
        <f t="shared" ref="D3:D51" si="1">A3*A3</f>
        <v>40.960000000000008</v>
      </c>
      <c r="E3" s="1">
        <f t="shared" ref="E3:E51" si="2">B3*B3</f>
        <v>2209</v>
      </c>
      <c r="G3" s="3"/>
    </row>
    <row r="4" spans="1:8" ht="15" thickBot="1" x14ac:dyDescent="0.35">
      <c r="A4" s="3">
        <v>6.3</v>
      </c>
      <c r="B4" s="3">
        <v>55</v>
      </c>
      <c r="C4" s="1">
        <f t="shared" si="0"/>
        <v>346.5</v>
      </c>
      <c r="D4" s="1">
        <f t="shared" si="1"/>
        <v>39.69</v>
      </c>
      <c r="E4" s="1">
        <f t="shared" si="2"/>
        <v>3025</v>
      </c>
      <c r="G4" s="3"/>
    </row>
    <row r="5" spans="1:8" ht="15" thickBot="1" x14ac:dyDescent="0.35">
      <c r="A5" s="3">
        <v>4.8</v>
      </c>
      <c r="B5" s="3">
        <v>58</v>
      </c>
      <c r="C5" s="1">
        <f t="shared" si="0"/>
        <v>278.39999999999998</v>
      </c>
      <c r="D5" s="1">
        <f t="shared" si="1"/>
        <v>23.04</v>
      </c>
      <c r="E5" s="1">
        <f t="shared" si="2"/>
        <v>3364</v>
      </c>
      <c r="G5" s="3"/>
    </row>
    <row r="6" spans="1:8" ht="15" thickBot="1" x14ac:dyDescent="0.35">
      <c r="A6" s="3">
        <v>5.2</v>
      </c>
      <c r="B6" s="3">
        <v>52</v>
      </c>
      <c r="C6" s="1">
        <f t="shared" si="0"/>
        <v>270.40000000000003</v>
      </c>
      <c r="D6" s="1">
        <f t="shared" si="1"/>
        <v>27.040000000000003</v>
      </c>
      <c r="E6" s="1">
        <f t="shared" si="2"/>
        <v>2704</v>
      </c>
      <c r="G6" s="3"/>
    </row>
    <row r="7" spans="1:8" ht="15" thickBot="1" x14ac:dyDescent="0.35">
      <c r="A7" s="3">
        <v>5.6</v>
      </c>
      <c r="B7" s="3">
        <v>50</v>
      </c>
      <c r="C7" s="1">
        <f t="shared" si="0"/>
        <v>280</v>
      </c>
      <c r="D7" s="1">
        <f t="shared" si="1"/>
        <v>31.359999999999996</v>
      </c>
      <c r="E7" s="1">
        <f t="shared" si="2"/>
        <v>2500</v>
      </c>
      <c r="G7" s="3"/>
    </row>
    <row r="8" spans="1:8" ht="15" thickBot="1" x14ac:dyDescent="0.35">
      <c r="A8" s="3">
        <v>5.2</v>
      </c>
      <c r="B8" s="3">
        <v>47</v>
      </c>
      <c r="C8" s="1">
        <f t="shared" si="0"/>
        <v>244.4</v>
      </c>
      <c r="D8" s="1">
        <f t="shared" si="1"/>
        <v>27.040000000000003</v>
      </c>
      <c r="E8" s="1">
        <f t="shared" si="2"/>
        <v>2209</v>
      </c>
      <c r="G8" s="3"/>
    </row>
    <row r="9" spans="1:8" ht="15" thickBot="1" x14ac:dyDescent="0.35">
      <c r="A9" s="3">
        <v>5.4</v>
      </c>
      <c r="B9" s="3">
        <v>51</v>
      </c>
      <c r="C9" s="1">
        <f t="shared" si="0"/>
        <v>275.40000000000003</v>
      </c>
      <c r="D9" s="1">
        <f t="shared" si="1"/>
        <v>29.160000000000004</v>
      </c>
      <c r="E9" s="1">
        <f t="shared" si="2"/>
        <v>2601</v>
      </c>
      <c r="G9" s="3"/>
    </row>
    <row r="10" spans="1:8" ht="15" thickBot="1" x14ac:dyDescent="0.35">
      <c r="A10" s="3">
        <v>5.7</v>
      </c>
      <c r="B10" s="3">
        <v>85</v>
      </c>
      <c r="C10" s="1">
        <f t="shared" si="0"/>
        <v>484.5</v>
      </c>
      <c r="D10" s="1">
        <f t="shared" si="1"/>
        <v>32.49</v>
      </c>
      <c r="E10" s="1">
        <f t="shared" si="2"/>
        <v>7225</v>
      </c>
      <c r="G10" s="3"/>
    </row>
    <row r="11" spans="1:8" ht="15" thickBot="1" x14ac:dyDescent="0.35">
      <c r="A11" s="3">
        <v>5.5</v>
      </c>
      <c r="B11" s="3">
        <v>59</v>
      </c>
      <c r="C11" s="1">
        <f t="shared" si="0"/>
        <v>324.5</v>
      </c>
      <c r="D11" s="1">
        <f t="shared" si="1"/>
        <v>30.25</v>
      </c>
      <c r="E11" s="1">
        <f t="shared" si="2"/>
        <v>3481</v>
      </c>
      <c r="G11" s="3"/>
    </row>
    <row r="12" spans="1:8" ht="15" thickBot="1" x14ac:dyDescent="0.35">
      <c r="A12" s="3">
        <v>6.4</v>
      </c>
      <c r="B12" s="3">
        <v>62</v>
      </c>
      <c r="C12" s="1">
        <f t="shared" si="0"/>
        <v>396.8</v>
      </c>
      <c r="D12" s="1">
        <f t="shared" si="1"/>
        <v>40.960000000000008</v>
      </c>
      <c r="E12" s="1">
        <f t="shared" si="2"/>
        <v>3844</v>
      </c>
      <c r="G12" s="3"/>
    </row>
    <row r="13" spans="1:8" ht="15" thickBot="1" x14ac:dyDescent="0.35">
      <c r="A13" s="3">
        <v>5.0999999999999996</v>
      </c>
      <c r="B13" s="3">
        <v>32</v>
      </c>
      <c r="C13" s="1">
        <f t="shared" si="0"/>
        <v>163.19999999999999</v>
      </c>
      <c r="D13" s="1">
        <f t="shared" si="1"/>
        <v>26.009999999999998</v>
      </c>
      <c r="E13" s="1">
        <f t="shared" si="2"/>
        <v>1024</v>
      </c>
      <c r="G13" s="3"/>
    </row>
    <row r="14" spans="1:8" ht="15" thickBot="1" x14ac:dyDescent="0.35">
      <c r="A14" s="3">
        <v>6.6</v>
      </c>
      <c r="B14" s="3">
        <v>55</v>
      </c>
      <c r="C14" s="1">
        <f t="shared" si="0"/>
        <v>363</v>
      </c>
      <c r="D14" s="1">
        <f t="shared" si="1"/>
        <v>43.559999999999995</v>
      </c>
      <c r="E14" s="1">
        <f t="shared" si="2"/>
        <v>3025</v>
      </c>
      <c r="G14" s="3"/>
    </row>
    <row r="15" spans="1:8" ht="15" thickBot="1" x14ac:dyDescent="0.35">
      <c r="A15" s="3">
        <v>6.5</v>
      </c>
      <c r="B15" s="3">
        <v>65</v>
      </c>
      <c r="C15" s="1">
        <f t="shared" si="0"/>
        <v>422.5</v>
      </c>
      <c r="D15" s="1">
        <f t="shared" si="1"/>
        <v>42.25</v>
      </c>
      <c r="E15" s="1">
        <f t="shared" si="2"/>
        <v>4225</v>
      </c>
      <c r="G15" s="3"/>
    </row>
    <row r="16" spans="1:8" ht="15" thickBot="1" x14ac:dyDescent="0.35">
      <c r="A16" s="3">
        <v>6.6</v>
      </c>
      <c r="B16" s="3">
        <v>63</v>
      </c>
      <c r="C16" s="1">
        <f t="shared" si="0"/>
        <v>415.79999999999995</v>
      </c>
      <c r="D16" s="1">
        <f t="shared" si="1"/>
        <v>43.559999999999995</v>
      </c>
      <c r="E16" s="1">
        <f t="shared" si="2"/>
        <v>3969</v>
      </c>
      <c r="G16" s="3"/>
    </row>
    <row r="17" spans="1:7" ht="15" thickBot="1" x14ac:dyDescent="0.35">
      <c r="A17" s="3">
        <v>6.7</v>
      </c>
      <c r="B17" s="3">
        <v>60</v>
      </c>
      <c r="C17" s="1">
        <f t="shared" si="0"/>
        <v>402</v>
      </c>
      <c r="D17" s="1">
        <f t="shared" si="1"/>
        <v>44.89</v>
      </c>
      <c r="E17" s="1">
        <f t="shared" si="2"/>
        <v>3600</v>
      </c>
      <c r="G17" s="3"/>
    </row>
    <row r="18" spans="1:7" ht="15" thickBot="1" x14ac:dyDescent="0.35">
      <c r="A18" s="3">
        <v>6.5</v>
      </c>
      <c r="B18" s="3">
        <v>50</v>
      </c>
      <c r="C18" s="1">
        <f t="shared" si="0"/>
        <v>325</v>
      </c>
      <c r="D18" s="1">
        <f t="shared" si="1"/>
        <v>42.25</v>
      </c>
      <c r="E18" s="1">
        <f t="shared" si="2"/>
        <v>2500</v>
      </c>
      <c r="G18" s="3"/>
    </row>
    <row r="19" spans="1:7" ht="15" thickBot="1" x14ac:dyDescent="0.35">
      <c r="A19" s="3">
        <v>6.2</v>
      </c>
      <c r="B19" s="3">
        <v>48</v>
      </c>
      <c r="C19" s="1">
        <f t="shared" si="0"/>
        <v>297.60000000000002</v>
      </c>
      <c r="D19" s="1">
        <f t="shared" si="1"/>
        <v>38.440000000000005</v>
      </c>
      <c r="E19" s="1">
        <f t="shared" si="2"/>
        <v>2304</v>
      </c>
      <c r="G19" s="3"/>
    </row>
    <row r="20" spans="1:7" ht="15" thickBot="1" x14ac:dyDescent="0.35">
      <c r="A20" s="3">
        <v>6.9</v>
      </c>
      <c r="B20" s="3">
        <v>85</v>
      </c>
      <c r="C20" s="1">
        <f t="shared" si="0"/>
        <v>586.5</v>
      </c>
      <c r="D20" s="1">
        <f t="shared" si="1"/>
        <v>47.610000000000007</v>
      </c>
      <c r="E20" s="1">
        <f t="shared" si="2"/>
        <v>7225</v>
      </c>
      <c r="G20" s="3"/>
    </row>
    <row r="21" spans="1:7" ht="15" thickBot="1" x14ac:dyDescent="0.35">
      <c r="A21" s="3">
        <v>5.5</v>
      </c>
      <c r="B21" s="3">
        <v>48</v>
      </c>
      <c r="C21" s="1">
        <f t="shared" si="0"/>
        <v>264</v>
      </c>
      <c r="D21" s="1">
        <f t="shared" si="1"/>
        <v>30.25</v>
      </c>
      <c r="E21" s="1">
        <f t="shared" si="2"/>
        <v>2304</v>
      </c>
      <c r="G21" s="3"/>
    </row>
    <row r="22" spans="1:7" ht="15" thickBot="1" x14ac:dyDescent="0.35">
      <c r="A22" s="3">
        <v>5.5</v>
      </c>
      <c r="B22" s="3">
        <v>58</v>
      </c>
      <c r="C22" s="1">
        <f t="shared" si="0"/>
        <v>319</v>
      </c>
      <c r="D22" s="1">
        <f t="shared" si="1"/>
        <v>30.25</v>
      </c>
      <c r="E22" s="1">
        <f t="shared" si="2"/>
        <v>3364</v>
      </c>
      <c r="G22" s="3"/>
    </row>
    <row r="23" spans="1:7" ht="15" thickBot="1" x14ac:dyDescent="0.35">
      <c r="A23" s="3">
        <v>5.7</v>
      </c>
      <c r="B23" s="3">
        <v>65</v>
      </c>
      <c r="C23" s="1">
        <f t="shared" si="0"/>
        <v>370.5</v>
      </c>
      <c r="D23" s="1">
        <f t="shared" si="1"/>
        <v>32.49</v>
      </c>
      <c r="E23" s="1">
        <f t="shared" si="2"/>
        <v>4225</v>
      </c>
      <c r="G23" s="3"/>
    </row>
    <row r="24" spans="1:7" ht="15" thickBot="1" x14ac:dyDescent="0.35">
      <c r="A24" s="3">
        <v>6.4</v>
      </c>
      <c r="B24" s="3">
        <v>56</v>
      </c>
      <c r="C24" s="1">
        <f t="shared" si="0"/>
        <v>358.40000000000003</v>
      </c>
      <c r="D24" s="1">
        <f t="shared" si="1"/>
        <v>40.960000000000008</v>
      </c>
      <c r="E24" s="1">
        <f t="shared" si="2"/>
        <v>3136</v>
      </c>
      <c r="G24" s="3"/>
    </row>
    <row r="25" spans="1:7" ht="15" thickBot="1" x14ac:dyDescent="0.35">
      <c r="A25" s="3">
        <v>6.8</v>
      </c>
      <c r="B25" s="3">
        <v>50</v>
      </c>
      <c r="C25" s="1">
        <f t="shared" si="0"/>
        <v>340</v>
      </c>
      <c r="D25" s="1">
        <f t="shared" si="1"/>
        <v>46.239999999999995</v>
      </c>
      <c r="E25" s="1">
        <f t="shared" si="2"/>
        <v>2500</v>
      </c>
      <c r="G25" s="3"/>
    </row>
    <row r="26" spans="1:7" ht="15" thickBot="1" x14ac:dyDescent="0.35">
      <c r="A26" s="3">
        <v>6.1</v>
      </c>
      <c r="B26" s="3">
        <v>42</v>
      </c>
      <c r="C26" s="1">
        <f t="shared" si="0"/>
        <v>256.2</v>
      </c>
      <c r="D26" s="1">
        <f t="shared" si="1"/>
        <v>37.209999999999994</v>
      </c>
      <c r="E26" s="1">
        <f t="shared" si="2"/>
        <v>1764</v>
      </c>
      <c r="G26" s="3"/>
    </row>
    <row r="27" spans="1:7" x14ac:dyDescent="0.3">
      <c r="A27" s="1">
        <v>6.3</v>
      </c>
      <c r="B27" s="4">
        <v>61</v>
      </c>
      <c r="C27" s="1">
        <f t="shared" si="0"/>
        <v>384.3</v>
      </c>
      <c r="D27" s="1">
        <f t="shared" si="1"/>
        <v>39.69</v>
      </c>
      <c r="E27" s="1">
        <f t="shared" si="2"/>
        <v>3721</v>
      </c>
      <c r="G27" s="4"/>
    </row>
    <row r="28" spans="1:7" x14ac:dyDescent="0.3">
      <c r="A28" s="1">
        <v>6.5</v>
      </c>
      <c r="B28" s="4">
        <v>65</v>
      </c>
      <c r="C28" s="1">
        <f t="shared" si="0"/>
        <v>422.5</v>
      </c>
      <c r="D28" s="1">
        <f t="shared" si="1"/>
        <v>42.25</v>
      </c>
      <c r="E28" s="1">
        <f t="shared" si="2"/>
        <v>4225</v>
      </c>
      <c r="G28" s="4"/>
    </row>
    <row r="29" spans="1:7" x14ac:dyDescent="0.3">
      <c r="A29" s="4">
        <v>6.2</v>
      </c>
      <c r="B29" s="4">
        <v>64</v>
      </c>
      <c r="C29" s="1">
        <f t="shared" si="0"/>
        <v>396.8</v>
      </c>
      <c r="D29" s="1">
        <f t="shared" si="1"/>
        <v>38.440000000000005</v>
      </c>
      <c r="E29" s="1">
        <f t="shared" si="2"/>
        <v>4096</v>
      </c>
      <c r="G29" s="4"/>
    </row>
    <row r="30" spans="1:7" x14ac:dyDescent="0.3">
      <c r="A30" s="4">
        <v>6.2</v>
      </c>
      <c r="B30" s="4">
        <v>58</v>
      </c>
      <c r="C30" s="1">
        <f t="shared" si="0"/>
        <v>359.6</v>
      </c>
      <c r="D30" s="1">
        <f t="shared" si="1"/>
        <v>38.440000000000005</v>
      </c>
      <c r="E30" s="1">
        <f t="shared" si="2"/>
        <v>3364</v>
      </c>
      <c r="G30" s="4"/>
    </row>
    <row r="31" spans="1:7" x14ac:dyDescent="0.3">
      <c r="A31" s="4">
        <v>5.9</v>
      </c>
      <c r="B31" s="4">
        <v>60</v>
      </c>
      <c r="C31" s="1">
        <f t="shared" si="0"/>
        <v>354</v>
      </c>
      <c r="D31" s="1">
        <f t="shared" si="1"/>
        <v>34.81</v>
      </c>
      <c r="E31" s="1">
        <f t="shared" si="2"/>
        <v>3600</v>
      </c>
      <c r="G31" s="4"/>
    </row>
    <row r="32" spans="1:7" x14ac:dyDescent="0.3">
      <c r="A32" s="4">
        <v>6.2</v>
      </c>
      <c r="B32" s="4">
        <v>62</v>
      </c>
      <c r="C32" s="1">
        <f t="shared" si="0"/>
        <v>384.40000000000003</v>
      </c>
      <c r="D32" s="1">
        <f t="shared" si="1"/>
        <v>38.440000000000005</v>
      </c>
      <c r="E32" s="1">
        <f t="shared" si="2"/>
        <v>3844</v>
      </c>
      <c r="G32" s="4"/>
    </row>
    <row r="33" spans="1:7" x14ac:dyDescent="0.3">
      <c r="A33" s="4">
        <v>6.3</v>
      </c>
      <c r="B33" s="4">
        <v>60</v>
      </c>
      <c r="C33" s="1">
        <f t="shared" si="0"/>
        <v>378</v>
      </c>
      <c r="D33" s="1">
        <f t="shared" si="1"/>
        <v>39.69</v>
      </c>
      <c r="E33" s="1">
        <f t="shared" si="2"/>
        <v>3600</v>
      </c>
      <c r="G33" s="4"/>
    </row>
    <row r="34" spans="1:7" x14ac:dyDescent="0.3">
      <c r="A34" s="4">
        <v>5.8</v>
      </c>
      <c r="B34" s="4">
        <v>59</v>
      </c>
      <c r="C34" s="1">
        <f t="shared" si="0"/>
        <v>342.2</v>
      </c>
      <c r="D34" s="1">
        <f t="shared" si="1"/>
        <v>33.64</v>
      </c>
      <c r="E34" s="1">
        <f t="shared" si="2"/>
        <v>3481</v>
      </c>
      <c r="G34" s="4"/>
    </row>
    <row r="35" spans="1:7" x14ac:dyDescent="0.3">
      <c r="A35" s="4">
        <v>5.7</v>
      </c>
      <c r="B35" s="4">
        <v>58</v>
      </c>
      <c r="C35" s="1">
        <f t="shared" si="0"/>
        <v>330.6</v>
      </c>
      <c r="D35" s="1">
        <f t="shared" si="1"/>
        <v>32.49</v>
      </c>
      <c r="E35" s="1">
        <f t="shared" si="2"/>
        <v>3364</v>
      </c>
      <c r="G35" s="4"/>
    </row>
    <row r="36" spans="1:7" x14ac:dyDescent="0.3">
      <c r="A36" s="4">
        <v>5.7</v>
      </c>
      <c r="B36" s="4">
        <v>62</v>
      </c>
      <c r="C36" s="1">
        <f t="shared" si="0"/>
        <v>353.40000000000003</v>
      </c>
      <c r="D36" s="1">
        <f t="shared" si="1"/>
        <v>32.49</v>
      </c>
      <c r="E36" s="1">
        <f t="shared" si="2"/>
        <v>3844</v>
      </c>
      <c r="G36" s="4"/>
    </row>
    <row r="37" spans="1:7" x14ac:dyDescent="0.3">
      <c r="A37" s="4">
        <v>5.7</v>
      </c>
      <c r="B37" s="4">
        <v>59</v>
      </c>
      <c r="C37" s="1">
        <f t="shared" si="0"/>
        <v>336.3</v>
      </c>
      <c r="D37" s="1">
        <f t="shared" si="1"/>
        <v>32.49</v>
      </c>
      <c r="E37" s="1">
        <f t="shared" si="2"/>
        <v>3481</v>
      </c>
      <c r="G37" s="4"/>
    </row>
    <row r="38" spans="1:7" x14ac:dyDescent="0.3">
      <c r="A38" s="4">
        <v>6.4</v>
      </c>
      <c r="B38" s="4">
        <v>65</v>
      </c>
      <c r="C38" s="1">
        <f t="shared" si="0"/>
        <v>416</v>
      </c>
      <c r="D38" s="1">
        <f t="shared" si="1"/>
        <v>40.960000000000008</v>
      </c>
      <c r="E38" s="1">
        <f t="shared" si="2"/>
        <v>4225</v>
      </c>
      <c r="G38" s="4"/>
    </row>
    <row r="39" spans="1:7" x14ac:dyDescent="0.3">
      <c r="A39" s="4">
        <v>6.2</v>
      </c>
      <c r="B39" s="4">
        <v>60</v>
      </c>
      <c r="C39" s="1">
        <f t="shared" si="0"/>
        <v>372</v>
      </c>
      <c r="D39" s="1">
        <f t="shared" si="1"/>
        <v>38.440000000000005</v>
      </c>
      <c r="E39" s="1">
        <f t="shared" si="2"/>
        <v>3600</v>
      </c>
      <c r="G39" s="4"/>
    </row>
    <row r="40" spans="1:7" x14ac:dyDescent="0.3">
      <c r="A40" s="4">
        <v>5.9</v>
      </c>
      <c r="B40" s="4">
        <v>58</v>
      </c>
      <c r="C40" s="1">
        <f t="shared" si="0"/>
        <v>342.20000000000005</v>
      </c>
      <c r="D40" s="1">
        <f t="shared" si="1"/>
        <v>34.81</v>
      </c>
      <c r="E40" s="1">
        <f t="shared" si="2"/>
        <v>3364</v>
      </c>
      <c r="G40" s="4"/>
    </row>
    <row r="41" spans="1:7" x14ac:dyDescent="0.3">
      <c r="A41" s="4">
        <v>5.7</v>
      </c>
      <c r="B41" s="4">
        <v>58</v>
      </c>
      <c r="C41" s="1">
        <f t="shared" si="0"/>
        <v>330.6</v>
      </c>
      <c r="D41" s="1">
        <f t="shared" si="1"/>
        <v>32.49</v>
      </c>
      <c r="E41" s="1">
        <f t="shared" si="2"/>
        <v>3364</v>
      </c>
      <c r="G41" s="4"/>
    </row>
    <row r="42" spans="1:7" x14ac:dyDescent="0.3">
      <c r="A42" s="4">
        <v>5.8</v>
      </c>
      <c r="B42" s="4">
        <v>59</v>
      </c>
      <c r="C42" s="1">
        <f t="shared" si="0"/>
        <v>342.2</v>
      </c>
      <c r="D42" s="1">
        <f t="shared" si="1"/>
        <v>33.64</v>
      </c>
      <c r="E42" s="1">
        <f t="shared" si="2"/>
        <v>3481</v>
      </c>
      <c r="G42" s="4"/>
    </row>
    <row r="43" spans="1:7" x14ac:dyDescent="0.3">
      <c r="A43" s="4">
        <v>5.7</v>
      </c>
      <c r="B43" s="4">
        <v>60</v>
      </c>
      <c r="C43" s="1">
        <f t="shared" si="0"/>
        <v>342</v>
      </c>
      <c r="D43" s="1">
        <f t="shared" si="1"/>
        <v>32.49</v>
      </c>
      <c r="E43" s="1">
        <f t="shared" si="2"/>
        <v>3600</v>
      </c>
      <c r="G43" s="4"/>
    </row>
    <row r="44" spans="1:7" x14ac:dyDescent="0.3">
      <c r="A44" s="4">
        <v>6.3</v>
      </c>
      <c r="B44" s="4">
        <v>79</v>
      </c>
      <c r="C44" s="1">
        <f t="shared" si="0"/>
        <v>497.7</v>
      </c>
      <c r="D44" s="1">
        <f t="shared" si="1"/>
        <v>39.69</v>
      </c>
      <c r="E44" s="1">
        <f t="shared" si="2"/>
        <v>6241</v>
      </c>
      <c r="G44" s="4"/>
    </row>
    <row r="45" spans="1:7" x14ac:dyDescent="0.3">
      <c r="A45" s="4">
        <v>5.8</v>
      </c>
      <c r="B45" s="4">
        <v>78</v>
      </c>
      <c r="C45" s="1">
        <f t="shared" si="0"/>
        <v>452.4</v>
      </c>
      <c r="D45" s="1">
        <f t="shared" si="1"/>
        <v>33.64</v>
      </c>
      <c r="E45" s="1">
        <f t="shared" si="2"/>
        <v>6084</v>
      </c>
      <c r="G45" s="4"/>
    </row>
    <row r="46" spans="1:7" x14ac:dyDescent="0.3">
      <c r="A46" s="4">
        <v>5.0999999999999996</v>
      </c>
      <c r="B46" s="4">
        <v>58</v>
      </c>
      <c r="C46" s="1">
        <f t="shared" si="0"/>
        <v>295.79999999999995</v>
      </c>
      <c r="D46" s="1">
        <f t="shared" si="1"/>
        <v>26.009999999999998</v>
      </c>
      <c r="E46" s="1">
        <f t="shared" si="2"/>
        <v>3364</v>
      </c>
      <c r="G46" s="4"/>
    </row>
    <row r="47" spans="1:7" x14ac:dyDescent="0.3">
      <c r="A47" s="4">
        <v>6.8</v>
      </c>
      <c r="B47" s="4">
        <v>57</v>
      </c>
      <c r="C47" s="1">
        <f t="shared" si="0"/>
        <v>387.59999999999997</v>
      </c>
      <c r="D47" s="1">
        <f t="shared" si="1"/>
        <v>46.239999999999995</v>
      </c>
      <c r="E47" s="1">
        <f t="shared" si="2"/>
        <v>3249</v>
      </c>
      <c r="G47" s="4"/>
    </row>
    <row r="48" spans="1:7" x14ac:dyDescent="0.3">
      <c r="A48" s="4">
        <v>6.7</v>
      </c>
      <c r="B48" s="4">
        <v>59</v>
      </c>
      <c r="C48" s="1">
        <f t="shared" si="0"/>
        <v>395.3</v>
      </c>
      <c r="D48" s="1">
        <f t="shared" si="1"/>
        <v>44.89</v>
      </c>
      <c r="E48" s="1">
        <f t="shared" si="2"/>
        <v>3481</v>
      </c>
      <c r="G48" s="4"/>
    </row>
    <row r="49" spans="1:7" x14ac:dyDescent="0.3">
      <c r="A49" s="4">
        <v>5.9</v>
      </c>
      <c r="B49" s="4">
        <v>60</v>
      </c>
      <c r="C49" s="1">
        <f t="shared" si="0"/>
        <v>354</v>
      </c>
      <c r="D49" s="1">
        <f t="shared" si="1"/>
        <v>34.81</v>
      </c>
      <c r="E49" s="1">
        <f t="shared" si="2"/>
        <v>3600</v>
      </c>
      <c r="G49" s="4"/>
    </row>
    <row r="50" spans="1:7" x14ac:dyDescent="0.3">
      <c r="A50" s="4">
        <v>5.0999999999999996</v>
      </c>
      <c r="B50" s="4">
        <v>72</v>
      </c>
      <c r="C50" s="1">
        <f t="shared" si="0"/>
        <v>367.2</v>
      </c>
      <c r="D50" s="1">
        <f t="shared" si="1"/>
        <v>26.009999999999998</v>
      </c>
      <c r="E50" s="1">
        <f t="shared" si="2"/>
        <v>5184</v>
      </c>
      <c r="G50" s="4"/>
    </row>
    <row r="51" spans="1:7" x14ac:dyDescent="0.3">
      <c r="A51" s="4">
        <v>5.6</v>
      </c>
      <c r="B51" s="4">
        <v>69</v>
      </c>
      <c r="C51" s="1">
        <f t="shared" si="0"/>
        <v>386.4</v>
      </c>
      <c r="D51" s="1">
        <f t="shared" si="1"/>
        <v>31.359999999999996</v>
      </c>
      <c r="E51" s="1">
        <f t="shared" si="2"/>
        <v>4761</v>
      </c>
      <c r="G51" s="4"/>
    </row>
    <row r="52" spans="1:7" ht="18.600000000000001" x14ac:dyDescent="0.3">
      <c r="A52" s="9" t="s">
        <v>43</v>
      </c>
      <c r="B52" s="9" t="s">
        <v>44</v>
      </c>
      <c r="C52" s="9" t="s">
        <v>45</v>
      </c>
      <c r="D52" s="9" t="s">
        <v>46</v>
      </c>
      <c r="E52" s="7" t="s">
        <v>47</v>
      </c>
      <c r="G52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07CA-316C-453F-B3E5-1EDD0C364D0A}">
  <dimension ref="A1:J52"/>
  <sheetViews>
    <sheetView topLeftCell="A31" zoomScale="98" zoomScaleNormal="98" workbookViewId="0">
      <selection activeCell="F1" sqref="F1"/>
    </sheetView>
  </sheetViews>
  <sheetFormatPr defaultRowHeight="14.4" x14ac:dyDescent="0.3"/>
  <cols>
    <col min="1" max="1" width="19.21875" customWidth="1"/>
    <col min="2" max="2" width="22.88671875" customWidth="1"/>
    <col min="3" max="3" width="15.88671875" customWidth="1"/>
    <col min="4" max="4" width="16.44140625" customWidth="1"/>
    <col min="5" max="5" width="15.88671875" customWidth="1"/>
  </cols>
  <sheetData>
    <row r="1" spans="1:10" ht="18" thickBot="1" x14ac:dyDescent="0.35">
      <c r="A1" s="2" t="s">
        <v>48</v>
      </c>
      <c r="B1" s="2" t="s">
        <v>49</v>
      </c>
      <c r="C1" s="2" t="s">
        <v>41</v>
      </c>
      <c r="D1" s="2" t="s">
        <v>42</v>
      </c>
      <c r="E1" s="2" t="s">
        <v>40</v>
      </c>
      <c r="H1" s="2"/>
      <c r="I1" s="2"/>
      <c r="J1" s="2"/>
    </row>
    <row r="2" spans="1:10" ht="15" thickBot="1" x14ac:dyDescent="0.35">
      <c r="A2" s="3">
        <v>52</v>
      </c>
      <c r="B2" s="1">
        <v>6</v>
      </c>
      <c r="C2" s="1">
        <f>SUM(A2*A2)</f>
        <v>2704</v>
      </c>
      <c r="D2" s="1">
        <f>SUM(B2*B2)</f>
        <v>36</v>
      </c>
      <c r="E2" s="1">
        <f>SUM(A2*B2)</f>
        <v>312</v>
      </c>
      <c r="I2" s="7"/>
      <c r="J2" s="1"/>
    </row>
    <row r="3" spans="1:10" ht="15" thickBot="1" x14ac:dyDescent="0.35">
      <c r="A3" s="3">
        <v>47</v>
      </c>
      <c r="B3" s="1">
        <v>5</v>
      </c>
      <c r="C3" s="1">
        <f t="shared" ref="C3:C51" si="0">SUM(A3*A3)</f>
        <v>2209</v>
      </c>
      <c r="D3" s="1">
        <f t="shared" ref="D3:D51" si="1">SUM(B3*B3)</f>
        <v>25</v>
      </c>
      <c r="E3" s="1">
        <f t="shared" ref="E3:E51" si="2">SUM(A3*B3)</f>
        <v>235</v>
      </c>
      <c r="I3" s="7"/>
      <c r="J3" s="1"/>
    </row>
    <row r="4" spans="1:10" ht="15" thickBot="1" x14ac:dyDescent="0.35">
      <c r="A4" s="3">
        <v>55</v>
      </c>
      <c r="B4" s="1">
        <v>6</v>
      </c>
      <c r="C4" s="1">
        <f t="shared" si="0"/>
        <v>3025</v>
      </c>
      <c r="D4" s="1">
        <f t="shared" si="1"/>
        <v>36</v>
      </c>
      <c r="E4" s="1">
        <f t="shared" si="2"/>
        <v>330</v>
      </c>
      <c r="I4" s="7"/>
      <c r="J4" s="1"/>
    </row>
    <row r="5" spans="1:10" ht="15" thickBot="1" x14ac:dyDescent="0.35">
      <c r="A5" s="3">
        <v>58</v>
      </c>
      <c r="B5" s="1">
        <v>6</v>
      </c>
      <c r="C5" s="1">
        <f t="shared" si="0"/>
        <v>3364</v>
      </c>
      <c r="D5" s="1">
        <f t="shared" si="1"/>
        <v>36</v>
      </c>
      <c r="E5" s="1">
        <f t="shared" si="2"/>
        <v>348</v>
      </c>
      <c r="I5" s="7"/>
      <c r="J5" s="1"/>
    </row>
    <row r="6" spans="1:10" ht="15" thickBot="1" x14ac:dyDescent="0.35">
      <c r="A6" s="3">
        <v>52</v>
      </c>
      <c r="B6" s="1">
        <v>7</v>
      </c>
      <c r="C6" s="1">
        <f t="shared" si="0"/>
        <v>2704</v>
      </c>
      <c r="D6" s="1">
        <f t="shared" si="1"/>
        <v>49</v>
      </c>
      <c r="E6" s="1">
        <f t="shared" si="2"/>
        <v>364</v>
      </c>
      <c r="I6" s="7"/>
      <c r="J6" s="1"/>
    </row>
    <row r="7" spans="1:10" ht="15" thickBot="1" x14ac:dyDescent="0.35">
      <c r="A7" s="3">
        <v>50</v>
      </c>
      <c r="B7" s="1">
        <v>7</v>
      </c>
      <c r="C7" s="1">
        <f t="shared" si="0"/>
        <v>2500</v>
      </c>
      <c r="D7" s="1">
        <f t="shared" si="1"/>
        <v>49</v>
      </c>
      <c r="E7" s="1">
        <f t="shared" si="2"/>
        <v>350</v>
      </c>
      <c r="I7" s="7"/>
      <c r="J7" s="1"/>
    </row>
    <row r="8" spans="1:10" ht="15" thickBot="1" x14ac:dyDescent="0.35">
      <c r="A8" s="3">
        <v>47</v>
      </c>
      <c r="B8" s="1">
        <v>5</v>
      </c>
      <c r="C8" s="1">
        <f t="shared" si="0"/>
        <v>2209</v>
      </c>
      <c r="D8" s="1">
        <f t="shared" si="1"/>
        <v>25</v>
      </c>
      <c r="E8" s="1">
        <f t="shared" si="2"/>
        <v>235</v>
      </c>
      <c r="I8" s="7"/>
      <c r="J8" s="1"/>
    </row>
    <row r="9" spans="1:10" ht="15" thickBot="1" x14ac:dyDescent="0.35">
      <c r="A9" s="3">
        <v>51</v>
      </c>
      <c r="B9" s="1">
        <v>6</v>
      </c>
      <c r="C9" s="1">
        <f t="shared" si="0"/>
        <v>2601</v>
      </c>
      <c r="D9" s="1">
        <f t="shared" si="1"/>
        <v>36</v>
      </c>
      <c r="E9" s="1">
        <f t="shared" si="2"/>
        <v>306</v>
      </c>
      <c r="I9" s="7"/>
      <c r="J9" s="1"/>
    </row>
    <row r="10" spans="1:10" ht="15" thickBot="1" x14ac:dyDescent="0.35">
      <c r="A10" s="3">
        <v>85</v>
      </c>
      <c r="B10" s="1">
        <v>7</v>
      </c>
      <c r="C10" s="1">
        <f t="shared" si="0"/>
        <v>7225</v>
      </c>
      <c r="D10" s="1">
        <f t="shared" si="1"/>
        <v>49</v>
      </c>
      <c r="E10" s="1">
        <f t="shared" si="2"/>
        <v>595</v>
      </c>
      <c r="I10" s="7"/>
      <c r="J10" s="1"/>
    </row>
    <row r="11" spans="1:10" ht="15" thickBot="1" x14ac:dyDescent="0.35">
      <c r="A11" s="3">
        <v>59</v>
      </c>
      <c r="B11" s="1">
        <v>8</v>
      </c>
      <c r="C11" s="1">
        <f t="shared" si="0"/>
        <v>3481</v>
      </c>
      <c r="D11" s="1">
        <f t="shared" si="1"/>
        <v>64</v>
      </c>
      <c r="E11" s="1">
        <f t="shared" si="2"/>
        <v>472</v>
      </c>
      <c r="I11" s="7"/>
      <c r="J11" s="1"/>
    </row>
    <row r="12" spans="1:10" ht="15" thickBot="1" x14ac:dyDescent="0.35">
      <c r="A12" s="3">
        <v>62</v>
      </c>
      <c r="B12" s="1">
        <v>6</v>
      </c>
      <c r="C12" s="1">
        <f t="shared" si="0"/>
        <v>3844</v>
      </c>
      <c r="D12" s="1">
        <f t="shared" si="1"/>
        <v>36</v>
      </c>
      <c r="E12" s="1">
        <f t="shared" si="2"/>
        <v>372</v>
      </c>
      <c r="I12" s="7"/>
      <c r="J12" s="1"/>
    </row>
    <row r="13" spans="1:10" ht="15" thickBot="1" x14ac:dyDescent="0.35">
      <c r="A13" s="3">
        <v>32</v>
      </c>
      <c r="B13" s="1">
        <v>5</v>
      </c>
      <c r="C13" s="1">
        <f t="shared" si="0"/>
        <v>1024</v>
      </c>
      <c r="D13" s="1">
        <f t="shared" si="1"/>
        <v>25</v>
      </c>
      <c r="E13" s="1">
        <f t="shared" si="2"/>
        <v>160</v>
      </c>
      <c r="I13" s="7"/>
      <c r="J13" s="1"/>
    </row>
    <row r="14" spans="1:10" ht="15" thickBot="1" x14ac:dyDescent="0.35">
      <c r="A14" s="3">
        <v>55</v>
      </c>
      <c r="B14" s="1">
        <v>6</v>
      </c>
      <c r="C14" s="1">
        <f t="shared" si="0"/>
        <v>3025</v>
      </c>
      <c r="D14" s="1">
        <f t="shared" si="1"/>
        <v>36</v>
      </c>
      <c r="E14" s="1">
        <f t="shared" si="2"/>
        <v>330</v>
      </c>
      <c r="I14" s="7"/>
      <c r="J14" s="1"/>
    </row>
    <row r="15" spans="1:10" ht="15" thickBot="1" x14ac:dyDescent="0.35">
      <c r="A15" s="3">
        <v>65</v>
      </c>
      <c r="B15" s="1">
        <v>7</v>
      </c>
      <c r="C15" s="1">
        <f t="shared" si="0"/>
        <v>4225</v>
      </c>
      <c r="D15" s="1">
        <f t="shared" si="1"/>
        <v>49</v>
      </c>
      <c r="E15" s="1">
        <f t="shared" si="2"/>
        <v>455</v>
      </c>
      <c r="I15" s="7"/>
      <c r="J15" s="1"/>
    </row>
    <row r="16" spans="1:10" ht="15" thickBot="1" x14ac:dyDescent="0.35">
      <c r="A16" s="3">
        <v>63</v>
      </c>
      <c r="B16" s="1">
        <v>6</v>
      </c>
      <c r="C16" s="1">
        <f t="shared" si="0"/>
        <v>3969</v>
      </c>
      <c r="D16" s="1">
        <f t="shared" si="1"/>
        <v>36</v>
      </c>
      <c r="E16" s="1">
        <f t="shared" si="2"/>
        <v>378</v>
      </c>
      <c r="I16" s="7"/>
      <c r="J16" s="1"/>
    </row>
    <row r="17" spans="1:10" ht="15" thickBot="1" x14ac:dyDescent="0.35">
      <c r="A17" s="3">
        <v>60</v>
      </c>
      <c r="B17" s="1">
        <v>5</v>
      </c>
      <c r="C17" s="1">
        <f t="shared" si="0"/>
        <v>3600</v>
      </c>
      <c r="D17" s="1">
        <f t="shared" si="1"/>
        <v>25</v>
      </c>
      <c r="E17" s="1">
        <f t="shared" si="2"/>
        <v>300</v>
      </c>
      <c r="I17" s="7"/>
      <c r="J17" s="1"/>
    </row>
    <row r="18" spans="1:10" ht="15" thickBot="1" x14ac:dyDescent="0.35">
      <c r="A18" s="3">
        <v>50</v>
      </c>
      <c r="B18" s="1">
        <v>7</v>
      </c>
      <c r="C18" s="1">
        <f t="shared" si="0"/>
        <v>2500</v>
      </c>
      <c r="D18" s="1">
        <f t="shared" si="1"/>
        <v>49</v>
      </c>
      <c r="E18" s="1">
        <f t="shared" si="2"/>
        <v>350</v>
      </c>
      <c r="I18" s="7"/>
      <c r="J18" s="1"/>
    </row>
    <row r="19" spans="1:10" ht="15" thickBot="1" x14ac:dyDescent="0.35">
      <c r="A19" s="3">
        <v>48</v>
      </c>
      <c r="B19" s="1">
        <v>6</v>
      </c>
      <c r="C19" s="1">
        <f t="shared" si="0"/>
        <v>2304</v>
      </c>
      <c r="D19" s="1">
        <f t="shared" si="1"/>
        <v>36</v>
      </c>
      <c r="E19" s="1">
        <f t="shared" si="2"/>
        <v>288</v>
      </c>
      <c r="I19" s="7"/>
      <c r="J19" s="1"/>
    </row>
    <row r="20" spans="1:10" ht="15" thickBot="1" x14ac:dyDescent="0.35">
      <c r="A20" s="3">
        <v>85</v>
      </c>
      <c r="B20" s="1">
        <v>7</v>
      </c>
      <c r="C20" s="1">
        <f t="shared" si="0"/>
        <v>7225</v>
      </c>
      <c r="D20" s="1">
        <f t="shared" si="1"/>
        <v>49</v>
      </c>
      <c r="E20" s="1">
        <f t="shared" si="2"/>
        <v>595</v>
      </c>
      <c r="I20" s="7"/>
      <c r="J20" s="1"/>
    </row>
    <row r="21" spans="1:10" ht="15" thickBot="1" x14ac:dyDescent="0.35">
      <c r="A21" s="3">
        <v>48</v>
      </c>
      <c r="B21" s="1">
        <v>8</v>
      </c>
      <c r="C21" s="1">
        <f t="shared" si="0"/>
        <v>2304</v>
      </c>
      <c r="D21" s="1">
        <f t="shared" si="1"/>
        <v>64</v>
      </c>
      <c r="E21" s="1">
        <f t="shared" si="2"/>
        <v>384</v>
      </c>
      <c r="I21" s="7"/>
      <c r="J21" s="1"/>
    </row>
    <row r="22" spans="1:10" ht="15" thickBot="1" x14ac:dyDescent="0.35">
      <c r="A22" s="3">
        <v>58</v>
      </c>
      <c r="B22" s="1">
        <v>6</v>
      </c>
      <c r="C22" s="1">
        <f t="shared" si="0"/>
        <v>3364</v>
      </c>
      <c r="D22" s="1">
        <f t="shared" si="1"/>
        <v>36</v>
      </c>
      <c r="E22" s="1">
        <f t="shared" si="2"/>
        <v>348</v>
      </c>
      <c r="I22" s="7"/>
      <c r="J22" s="1"/>
    </row>
    <row r="23" spans="1:10" ht="15" thickBot="1" x14ac:dyDescent="0.35">
      <c r="A23" s="3">
        <v>65</v>
      </c>
      <c r="B23" s="1">
        <v>5</v>
      </c>
      <c r="C23" s="1">
        <f t="shared" si="0"/>
        <v>4225</v>
      </c>
      <c r="D23" s="1">
        <f t="shared" si="1"/>
        <v>25</v>
      </c>
      <c r="E23" s="1">
        <f t="shared" si="2"/>
        <v>325</v>
      </c>
      <c r="I23" s="7"/>
      <c r="J23" s="1"/>
    </row>
    <row r="24" spans="1:10" ht="15" thickBot="1" x14ac:dyDescent="0.35">
      <c r="A24" s="3">
        <v>56</v>
      </c>
      <c r="B24" s="1">
        <v>6</v>
      </c>
      <c r="C24" s="1">
        <f t="shared" si="0"/>
        <v>3136</v>
      </c>
      <c r="D24" s="1">
        <f t="shared" si="1"/>
        <v>36</v>
      </c>
      <c r="E24" s="1">
        <f t="shared" si="2"/>
        <v>336</v>
      </c>
      <c r="I24" s="7"/>
      <c r="J24" s="1"/>
    </row>
    <row r="25" spans="1:10" ht="15" thickBot="1" x14ac:dyDescent="0.35">
      <c r="A25" s="3">
        <v>50</v>
      </c>
      <c r="B25" s="1">
        <v>7</v>
      </c>
      <c r="C25" s="1">
        <f t="shared" si="0"/>
        <v>2500</v>
      </c>
      <c r="D25" s="1">
        <f t="shared" si="1"/>
        <v>49</v>
      </c>
      <c r="E25" s="1">
        <f t="shared" si="2"/>
        <v>350</v>
      </c>
      <c r="I25" s="7"/>
      <c r="J25" s="1"/>
    </row>
    <row r="26" spans="1:10" ht="15" thickBot="1" x14ac:dyDescent="0.35">
      <c r="A26" s="3">
        <v>42</v>
      </c>
      <c r="B26" s="1">
        <v>7</v>
      </c>
      <c r="C26" s="1">
        <f t="shared" si="0"/>
        <v>1764</v>
      </c>
      <c r="D26" s="1">
        <f t="shared" si="1"/>
        <v>49</v>
      </c>
      <c r="E26" s="1">
        <f t="shared" si="2"/>
        <v>294</v>
      </c>
      <c r="I26" s="7"/>
      <c r="J26" s="1"/>
    </row>
    <row r="27" spans="1:10" x14ac:dyDescent="0.3">
      <c r="A27" s="4">
        <v>61</v>
      </c>
      <c r="B27" s="1">
        <v>6</v>
      </c>
      <c r="C27" s="1">
        <f t="shared" si="0"/>
        <v>3721</v>
      </c>
      <c r="D27" s="1">
        <f t="shared" si="1"/>
        <v>36</v>
      </c>
      <c r="E27" s="1">
        <f t="shared" si="2"/>
        <v>366</v>
      </c>
      <c r="I27" s="7"/>
      <c r="J27" s="1"/>
    </row>
    <row r="28" spans="1:10" x14ac:dyDescent="0.3">
      <c r="A28" s="4">
        <v>65</v>
      </c>
      <c r="B28" s="1">
        <v>5</v>
      </c>
      <c r="C28" s="1">
        <f t="shared" si="0"/>
        <v>4225</v>
      </c>
      <c r="D28" s="1">
        <f t="shared" si="1"/>
        <v>25</v>
      </c>
      <c r="E28" s="1">
        <f t="shared" si="2"/>
        <v>325</v>
      </c>
      <c r="I28" s="7"/>
      <c r="J28" s="1"/>
    </row>
    <row r="29" spans="1:10" x14ac:dyDescent="0.3">
      <c r="A29" s="4">
        <v>64</v>
      </c>
      <c r="B29" s="1">
        <v>6</v>
      </c>
      <c r="C29" s="1">
        <f t="shared" si="0"/>
        <v>4096</v>
      </c>
      <c r="D29" s="1">
        <f t="shared" si="1"/>
        <v>36</v>
      </c>
      <c r="E29" s="1">
        <f t="shared" si="2"/>
        <v>384</v>
      </c>
      <c r="I29" s="7"/>
      <c r="J29" s="1"/>
    </row>
    <row r="30" spans="1:10" x14ac:dyDescent="0.3">
      <c r="A30" s="4">
        <v>58</v>
      </c>
      <c r="B30" s="1">
        <v>7</v>
      </c>
      <c r="C30" s="1">
        <f t="shared" si="0"/>
        <v>3364</v>
      </c>
      <c r="D30" s="1">
        <f t="shared" si="1"/>
        <v>49</v>
      </c>
      <c r="E30" s="1">
        <f t="shared" si="2"/>
        <v>406</v>
      </c>
      <c r="I30" s="7"/>
      <c r="J30" s="1"/>
    </row>
    <row r="31" spans="1:10" x14ac:dyDescent="0.3">
      <c r="A31" s="4">
        <v>60</v>
      </c>
      <c r="B31" s="1">
        <v>8</v>
      </c>
      <c r="C31" s="1">
        <f t="shared" si="0"/>
        <v>3600</v>
      </c>
      <c r="D31" s="1">
        <f t="shared" si="1"/>
        <v>64</v>
      </c>
      <c r="E31" s="1">
        <f t="shared" si="2"/>
        <v>480</v>
      </c>
      <c r="I31" s="7"/>
      <c r="J31" s="1"/>
    </row>
    <row r="32" spans="1:10" x14ac:dyDescent="0.3">
      <c r="A32" s="4">
        <v>62</v>
      </c>
      <c r="B32" s="1">
        <v>4</v>
      </c>
      <c r="C32" s="1">
        <f t="shared" si="0"/>
        <v>3844</v>
      </c>
      <c r="D32" s="1">
        <f t="shared" si="1"/>
        <v>16</v>
      </c>
      <c r="E32" s="1">
        <f t="shared" si="2"/>
        <v>248</v>
      </c>
      <c r="I32" s="7"/>
      <c r="J32" s="1"/>
    </row>
    <row r="33" spans="1:10" x14ac:dyDescent="0.3">
      <c r="A33" s="4">
        <v>60</v>
      </c>
      <c r="B33" s="1">
        <v>5</v>
      </c>
      <c r="C33" s="1">
        <f t="shared" si="0"/>
        <v>3600</v>
      </c>
      <c r="D33" s="1">
        <f t="shared" si="1"/>
        <v>25</v>
      </c>
      <c r="E33" s="1">
        <f t="shared" si="2"/>
        <v>300</v>
      </c>
      <c r="I33" s="7"/>
      <c r="J33" s="1"/>
    </row>
    <row r="34" spans="1:10" x14ac:dyDescent="0.3">
      <c r="A34" s="4">
        <v>59</v>
      </c>
      <c r="B34" s="1">
        <v>9</v>
      </c>
      <c r="C34" s="1">
        <f t="shared" si="0"/>
        <v>3481</v>
      </c>
      <c r="D34" s="1">
        <f t="shared" si="1"/>
        <v>81</v>
      </c>
      <c r="E34" s="1">
        <f t="shared" si="2"/>
        <v>531</v>
      </c>
      <c r="I34" s="7"/>
      <c r="J34" s="1"/>
    </row>
    <row r="35" spans="1:10" x14ac:dyDescent="0.3">
      <c r="A35" s="4">
        <v>58</v>
      </c>
      <c r="B35" s="1">
        <v>10</v>
      </c>
      <c r="C35" s="1">
        <f t="shared" si="0"/>
        <v>3364</v>
      </c>
      <c r="D35" s="1">
        <f t="shared" si="1"/>
        <v>100</v>
      </c>
      <c r="E35" s="1">
        <f t="shared" si="2"/>
        <v>580</v>
      </c>
      <c r="I35" s="7"/>
      <c r="J35" s="1"/>
    </row>
    <row r="36" spans="1:10" x14ac:dyDescent="0.3">
      <c r="A36" s="4">
        <v>62</v>
      </c>
      <c r="B36" s="1">
        <v>5</v>
      </c>
      <c r="C36" s="1">
        <f t="shared" si="0"/>
        <v>3844</v>
      </c>
      <c r="D36" s="1">
        <f t="shared" si="1"/>
        <v>25</v>
      </c>
      <c r="E36" s="1">
        <f t="shared" si="2"/>
        <v>310</v>
      </c>
      <c r="I36" s="7"/>
      <c r="J36" s="1"/>
    </row>
    <row r="37" spans="1:10" x14ac:dyDescent="0.3">
      <c r="A37" s="4">
        <v>59</v>
      </c>
      <c r="B37" s="1">
        <v>6</v>
      </c>
      <c r="C37" s="1">
        <f t="shared" si="0"/>
        <v>3481</v>
      </c>
      <c r="D37" s="1">
        <f t="shared" si="1"/>
        <v>36</v>
      </c>
      <c r="E37" s="1">
        <f t="shared" si="2"/>
        <v>354</v>
      </c>
      <c r="I37" s="7"/>
      <c r="J37" s="1"/>
    </row>
    <row r="38" spans="1:10" x14ac:dyDescent="0.3">
      <c r="A38" s="4">
        <v>65</v>
      </c>
      <c r="B38" s="1">
        <v>7</v>
      </c>
      <c r="C38" s="1">
        <f t="shared" si="0"/>
        <v>4225</v>
      </c>
      <c r="D38" s="1">
        <f t="shared" si="1"/>
        <v>49</v>
      </c>
      <c r="E38" s="1">
        <f t="shared" si="2"/>
        <v>455</v>
      </c>
      <c r="I38" s="7"/>
      <c r="J38" s="1"/>
    </row>
    <row r="39" spans="1:10" x14ac:dyDescent="0.3">
      <c r="A39" s="4">
        <v>60</v>
      </c>
      <c r="B39" s="1">
        <v>8</v>
      </c>
      <c r="C39" s="1">
        <f t="shared" si="0"/>
        <v>3600</v>
      </c>
      <c r="D39" s="1">
        <f t="shared" si="1"/>
        <v>64</v>
      </c>
      <c r="E39" s="1">
        <f t="shared" si="2"/>
        <v>480</v>
      </c>
      <c r="I39" s="7"/>
      <c r="J39" s="1"/>
    </row>
    <row r="40" spans="1:10" x14ac:dyDescent="0.3">
      <c r="A40" s="4">
        <v>58</v>
      </c>
      <c r="B40" s="1">
        <v>9</v>
      </c>
      <c r="C40" s="1">
        <f t="shared" si="0"/>
        <v>3364</v>
      </c>
      <c r="D40" s="1">
        <f t="shared" si="1"/>
        <v>81</v>
      </c>
      <c r="E40" s="1">
        <f t="shared" si="2"/>
        <v>522</v>
      </c>
      <c r="I40" s="7"/>
      <c r="J40" s="1"/>
    </row>
    <row r="41" spans="1:10" x14ac:dyDescent="0.3">
      <c r="A41" s="4">
        <v>58</v>
      </c>
      <c r="B41" s="1">
        <v>6</v>
      </c>
      <c r="C41" s="1">
        <f t="shared" si="0"/>
        <v>3364</v>
      </c>
      <c r="D41" s="1">
        <f t="shared" si="1"/>
        <v>36</v>
      </c>
      <c r="E41" s="1">
        <f t="shared" si="2"/>
        <v>348</v>
      </c>
      <c r="I41" s="7"/>
      <c r="J41" s="1"/>
    </row>
    <row r="42" spans="1:10" x14ac:dyDescent="0.3">
      <c r="A42" s="4">
        <v>59</v>
      </c>
      <c r="B42" s="1">
        <v>5</v>
      </c>
      <c r="C42" s="1">
        <f t="shared" si="0"/>
        <v>3481</v>
      </c>
      <c r="D42" s="1">
        <f t="shared" si="1"/>
        <v>25</v>
      </c>
      <c r="E42" s="1">
        <f t="shared" si="2"/>
        <v>295</v>
      </c>
      <c r="I42" s="7"/>
      <c r="J42" s="1"/>
    </row>
    <row r="43" spans="1:10" x14ac:dyDescent="0.3">
      <c r="A43" s="4">
        <v>60</v>
      </c>
      <c r="B43" s="1">
        <v>4</v>
      </c>
      <c r="C43" s="1">
        <f t="shared" si="0"/>
        <v>3600</v>
      </c>
      <c r="D43" s="1">
        <f t="shared" si="1"/>
        <v>16</v>
      </c>
      <c r="E43" s="1">
        <f t="shared" si="2"/>
        <v>240</v>
      </c>
      <c r="I43" s="7"/>
      <c r="J43" s="1"/>
    </row>
    <row r="44" spans="1:10" x14ac:dyDescent="0.3">
      <c r="A44" s="4">
        <v>79</v>
      </c>
      <c r="B44" s="1">
        <v>6</v>
      </c>
      <c r="C44" s="1">
        <f t="shared" si="0"/>
        <v>6241</v>
      </c>
      <c r="D44" s="1">
        <f t="shared" si="1"/>
        <v>36</v>
      </c>
      <c r="E44" s="1">
        <f t="shared" si="2"/>
        <v>474</v>
      </c>
      <c r="I44" s="7"/>
      <c r="J44" s="1"/>
    </row>
    <row r="45" spans="1:10" x14ac:dyDescent="0.3">
      <c r="A45" s="4">
        <v>78</v>
      </c>
      <c r="B45" s="1">
        <v>7</v>
      </c>
      <c r="C45" s="1">
        <f t="shared" si="0"/>
        <v>6084</v>
      </c>
      <c r="D45" s="1">
        <f t="shared" si="1"/>
        <v>49</v>
      </c>
      <c r="E45" s="1">
        <f t="shared" si="2"/>
        <v>546</v>
      </c>
      <c r="I45" s="7"/>
      <c r="J45" s="1"/>
    </row>
    <row r="46" spans="1:10" x14ac:dyDescent="0.3">
      <c r="A46" s="4">
        <v>58</v>
      </c>
      <c r="B46" s="1">
        <v>8</v>
      </c>
      <c r="C46" s="1">
        <f t="shared" si="0"/>
        <v>3364</v>
      </c>
      <c r="D46" s="1">
        <f t="shared" si="1"/>
        <v>64</v>
      </c>
      <c r="E46" s="1">
        <f t="shared" si="2"/>
        <v>464</v>
      </c>
      <c r="I46" s="7"/>
      <c r="J46" s="1"/>
    </row>
    <row r="47" spans="1:10" x14ac:dyDescent="0.3">
      <c r="A47" s="4">
        <v>57</v>
      </c>
      <c r="B47" s="1">
        <v>5</v>
      </c>
      <c r="C47" s="1">
        <f t="shared" si="0"/>
        <v>3249</v>
      </c>
      <c r="D47" s="1">
        <f t="shared" si="1"/>
        <v>25</v>
      </c>
      <c r="E47" s="1">
        <f t="shared" si="2"/>
        <v>285</v>
      </c>
      <c r="I47" s="7"/>
      <c r="J47" s="1"/>
    </row>
    <row r="48" spans="1:10" x14ac:dyDescent="0.3">
      <c r="A48" s="4">
        <v>59</v>
      </c>
      <c r="B48" s="1">
        <v>6</v>
      </c>
      <c r="C48" s="1">
        <f t="shared" si="0"/>
        <v>3481</v>
      </c>
      <c r="D48" s="1">
        <f t="shared" si="1"/>
        <v>36</v>
      </c>
      <c r="E48" s="1">
        <f t="shared" si="2"/>
        <v>354</v>
      </c>
      <c r="I48" s="7"/>
      <c r="J48" s="1"/>
    </row>
    <row r="49" spans="1:10" x14ac:dyDescent="0.3">
      <c r="A49" s="4">
        <v>60</v>
      </c>
      <c r="B49" s="1">
        <v>7</v>
      </c>
      <c r="C49" s="1">
        <f t="shared" si="0"/>
        <v>3600</v>
      </c>
      <c r="D49" s="1">
        <f t="shared" si="1"/>
        <v>49</v>
      </c>
      <c r="E49" s="1">
        <f t="shared" si="2"/>
        <v>420</v>
      </c>
      <c r="I49" s="7"/>
      <c r="J49" s="1"/>
    </row>
    <row r="50" spans="1:10" x14ac:dyDescent="0.3">
      <c r="A50" s="4">
        <v>72</v>
      </c>
      <c r="B50" s="1">
        <v>8</v>
      </c>
      <c r="C50" s="1">
        <f t="shared" si="0"/>
        <v>5184</v>
      </c>
      <c r="D50" s="1">
        <f t="shared" si="1"/>
        <v>64</v>
      </c>
      <c r="E50" s="1">
        <f t="shared" si="2"/>
        <v>576</v>
      </c>
      <c r="I50" s="7"/>
      <c r="J50" s="1"/>
    </row>
    <row r="51" spans="1:10" x14ac:dyDescent="0.3">
      <c r="A51" s="4">
        <v>69</v>
      </c>
      <c r="B51" s="1">
        <v>9</v>
      </c>
      <c r="C51" s="1">
        <f t="shared" si="0"/>
        <v>4761</v>
      </c>
      <c r="D51" s="1">
        <f t="shared" si="1"/>
        <v>81</v>
      </c>
      <c r="E51" s="1">
        <f t="shared" si="2"/>
        <v>621</v>
      </c>
      <c r="I51" s="7"/>
      <c r="J51" s="1"/>
    </row>
    <row r="52" spans="1:10" ht="49.2" x14ac:dyDescent="0.3">
      <c r="A52" s="11" t="s">
        <v>53</v>
      </c>
      <c r="B52" s="12" t="s">
        <v>51</v>
      </c>
      <c r="C52" s="13" t="s">
        <v>52</v>
      </c>
      <c r="D52" s="14">
        <f>SUM(D2:D51)</f>
        <v>2173</v>
      </c>
      <c r="E52" s="1">
        <f>SUM(E2:E51)</f>
        <v>19176</v>
      </c>
      <c r="I52" s="7"/>
      <c r="J52" s="1"/>
    </row>
  </sheetData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Sheet5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Ragib Ahsan</dc:creator>
  <cp:lastModifiedBy>Ragib Ahsan</cp:lastModifiedBy>
  <dcterms:created xsi:type="dcterms:W3CDTF">2023-12-05T12:31:21Z</dcterms:created>
  <dcterms:modified xsi:type="dcterms:W3CDTF">2024-07-08T11:35:07Z</dcterms:modified>
</cp:coreProperties>
</file>